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K1 2023\qldapm\"/>
    </mc:Choice>
  </mc:AlternateContent>
  <bookViews>
    <workbookView xWindow="0" yWindow="0" windowWidth="23040" windowHeight="8616" activeTab="10"/>
  </bookViews>
  <sheets>
    <sheet name="AOA1" sheetId="1" r:id="rId1"/>
    <sheet name="PDM1" sheetId="2" r:id="rId2"/>
    <sheet name="RN1" sheetId="3" r:id="rId3"/>
    <sheet name="AOA2" sheetId="4" r:id="rId4"/>
    <sheet name="PDM&amp;RN2" sheetId="5" r:id="rId5"/>
    <sheet name="GANTT2" sheetId="6" r:id="rId6"/>
    <sheet name="AOA3" sheetId="7" r:id="rId7"/>
    <sheet name="PDM3" sheetId="9" r:id="rId8"/>
    <sheet name="AOA4" sheetId="10" r:id="rId9"/>
    <sheet name="PDM4" sheetId="11" r:id="rId10"/>
    <sheet name="RN4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2" l="1"/>
  <c r="E20" i="12"/>
  <c r="F19" i="12"/>
  <c r="F18" i="12"/>
  <c r="F17" i="12"/>
  <c r="F16" i="12"/>
  <c r="F15" i="12"/>
  <c r="L7" i="12"/>
  <c r="O11" i="12" s="1"/>
  <c r="Q11" i="12" s="1"/>
  <c r="O3" i="12"/>
  <c r="Q3" i="12" s="1"/>
  <c r="J8" i="11"/>
  <c r="L8" i="11"/>
  <c r="O4" i="11"/>
  <c r="Q4" i="11"/>
  <c r="O8" i="11"/>
  <c r="Q8" i="11"/>
  <c r="O12" i="11"/>
  <c r="Q12" i="11"/>
  <c r="T12" i="11"/>
  <c r="V12" i="11"/>
  <c r="W8" i="11"/>
  <c r="Y8" i="11"/>
  <c r="V2" i="11"/>
  <c r="X2" i="11"/>
  <c r="Z11" i="11"/>
  <c r="AB11" i="11"/>
  <c r="AC6" i="11"/>
  <c r="AE6" i="11"/>
  <c r="AH6" i="11"/>
  <c r="AJ6" i="11"/>
  <c r="AM6" i="11"/>
  <c r="AO6" i="11"/>
  <c r="AO5" i="11"/>
  <c r="AM5" i="11"/>
  <c r="AJ5" i="11"/>
  <c r="AH5" i="11"/>
  <c r="AE5" i="11"/>
  <c r="AC5" i="11"/>
  <c r="AB10" i="11"/>
  <c r="Z10" i="11"/>
  <c r="W7" i="11"/>
  <c r="Y7" i="11" s="1"/>
  <c r="X1" i="11"/>
  <c r="V1" i="11"/>
  <c r="V11" i="11"/>
  <c r="T11" i="11"/>
  <c r="Q11" i="11"/>
  <c r="Q7" i="11"/>
  <c r="Q3" i="11"/>
  <c r="O11" i="11"/>
  <c r="O7" i="11"/>
  <c r="O3" i="11"/>
  <c r="L7" i="11"/>
  <c r="V1" i="12" l="1"/>
  <c r="X1" i="12" s="1"/>
  <c r="T11" i="12"/>
  <c r="V11" i="12" s="1"/>
  <c r="O7" i="12"/>
  <c r="Q7" i="12" s="1"/>
  <c r="U6" i="9"/>
  <c r="U5" i="9"/>
  <c r="T6" i="9"/>
  <c r="U4" i="9"/>
  <c r="Z10" i="12" l="1"/>
  <c r="AB10" i="12" s="1"/>
  <c r="W7" i="12"/>
  <c r="Y7" i="12" s="1"/>
  <c r="AC5" i="12" s="1"/>
  <c r="AE5" i="12" s="1"/>
  <c r="AH5" i="12" s="1"/>
  <c r="AJ5" i="12" s="1"/>
  <c r="AM5" i="12" s="1"/>
  <c r="AO5" i="12" s="1"/>
  <c r="AO6" i="12" s="1"/>
  <c r="AM6" i="12" s="1"/>
  <c r="AJ6" i="12" s="1"/>
  <c r="AH6" i="12" s="1"/>
  <c r="U3" i="9"/>
  <c r="AE6" i="12" l="1"/>
  <c r="AC6" i="12" s="1"/>
  <c r="AB11" i="12"/>
  <c r="Z11" i="12" s="1"/>
  <c r="E18" i="9"/>
  <c r="H18" i="9" s="1"/>
  <c r="J18" i="9" s="1"/>
  <c r="Q4" i="12" l="1"/>
  <c r="O4" i="12" s="1"/>
  <c r="Y8" i="12"/>
  <c r="W8" i="12" s="1"/>
  <c r="Q8" i="12" s="1"/>
  <c r="O8" i="12" s="1"/>
  <c r="X2" i="12"/>
  <c r="V2" i="12" s="1"/>
  <c r="M14" i="9"/>
  <c r="O14" i="9" s="1"/>
  <c r="R15" i="9" s="1"/>
  <c r="T15" i="9" s="1"/>
  <c r="N18" i="9"/>
  <c r="P18" i="9" s="1"/>
  <c r="S19" i="9" s="1"/>
  <c r="U19" i="9" s="1"/>
  <c r="X18" i="9" s="1"/>
  <c r="M23" i="9"/>
  <c r="O23" i="9" s="1"/>
  <c r="J27" i="9"/>
  <c r="L27" i="9" s="1"/>
  <c r="O27" i="9" s="1"/>
  <c r="Q27" i="9" s="1"/>
  <c r="T28" i="9" s="1"/>
  <c r="V28" i="9" s="1"/>
  <c r="Y27" i="9" s="1"/>
  <c r="AA27" i="9" s="1"/>
  <c r="C23" i="5"/>
  <c r="D22" i="5"/>
  <c r="D21" i="5"/>
  <c r="D20" i="5"/>
  <c r="D19" i="5"/>
  <c r="D23" i="5" s="1"/>
  <c r="F12" i="5"/>
  <c r="I12" i="5" s="1"/>
  <c r="K12" i="5" s="1"/>
  <c r="M15" i="5" s="1"/>
  <c r="O15" i="5" s="1"/>
  <c r="R15" i="5" s="1"/>
  <c r="T15" i="5" s="1"/>
  <c r="V12" i="12" l="1"/>
  <c r="T12" i="12" s="1"/>
  <c r="Q12" i="12" s="1"/>
  <c r="O12" i="12" s="1"/>
  <c r="L8" i="12" s="1"/>
  <c r="J8" i="12" s="1"/>
  <c r="M8" i="5"/>
  <c r="O8" i="5" s="1"/>
  <c r="H15" i="3"/>
  <c r="H16" i="3"/>
  <c r="H17" i="3"/>
  <c r="H18" i="3"/>
  <c r="F19" i="3"/>
  <c r="H19" i="3"/>
  <c r="R6" i="5" l="1"/>
  <c r="T6" i="5" s="1"/>
  <c r="R11" i="5"/>
  <c r="T11" i="5" s="1"/>
  <c r="X13" i="5" s="1"/>
  <c r="Z13" i="5" s="1"/>
  <c r="J8" i="3"/>
  <c r="M8" i="3" s="1"/>
  <c r="O8" i="3" s="1"/>
  <c r="Q12" i="3" s="1"/>
  <c r="S12" i="3" s="1"/>
  <c r="V9" i="3" s="1"/>
  <c r="M9" i="2"/>
  <c r="O9" i="2"/>
  <c r="Q13" i="2"/>
  <c r="V10" i="2"/>
  <c r="S13" i="2" s="1"/>
  <c r="X10" i="2"/>
  <c r="V16" i="2"/>
  <c r="X16" i="2"/>
  <c r="AA13" i="2"/>
  <c r="AC13" i="2"/>
  <c r="Q5" i="2"/>
  <c r="S5" i="2"/>
  <c r="V5" i="2"/>
  <c r="X5" i="2"/>
  <c r="AE8" i="2"/>
  <c r="AG8" i="2"/>
  <c r="AJ8" i="2"/>
  <c r="AL8" i="2"/>
  <c r="J9" i="2"/>
  <c r="H9" i="2" s="1"/>
  <c r="J8" i="2"/>
  <c r="Q4" i="2"/>
  <c r="S4" i="2" s="1"/>
  <c r="V4" i="2" s="1"/>
  <c r="X4" i="2" s="1"/>
  <c r="Q12" i="2"/>
  <c r="S12" i="2" s="1"/>
  <c r="M8" i="2"/>
  <c r="O8" i="2"/>
  <c r="AB7" i="5" l="1"/>
  <c r="AD7" i="5" s="1"/>
  <c r="AG7" i="5" s="1"/>
  <c r="AI7" i="5" s="1"/>
  <c r="AI8" i="5" s="1"/>
  <c r="AG8" i="5" s="1"/>
  <c r="AD8" i="5" s="1"/>
  <c r="AB8" i="5" s="1"/>
  <c r="V15" i="3"/>
  <c r="Q4" i="3"/>
  <c r="S4" i="3" s="1"/>
  <c r="V4" i="3" s="1"/>
  <c r="X4" i="3" s="1"/>
  <c r="V15" i="2"/>
  <c r="X15" i="2" s="1"/>
  <c r="V9" i="2"/>
  <c r="X9" i="2" s="1"/>
  <c r="AA12" i="2" s="1"/>
  <c r="AC12" i="2" s="1"/>
  <c r="AE7" i="2" s="1"/>
  <c r="AG7" i="2" s="1"/>
  <c r="AJ7" i="2" s="1"/>
  <c r="AL7" i="2" s="1"/>
  <c r="Z14" i="5" l="1"/>
  <c r="X14" i="5" s="1"/>
  <c r="T7" i="5"/>
  <c r="R7" i="5" s="1"/>
  <c r="X15" i="3"/>
  <c r="X9" i="3"/>
  <c r="T16" i="5" l="1"/>
  <c r="R16" i="5" s="1"/>
  <c r="O16" i="5" s="1"/>
  <c r="M16" i="5" s="1"/>
  <c r="T12" i="5"/>
  <c r="R12" i="5" s="1"/>
  <c r="O9" i="5" s="1"/>
  <c r="M9" i="5" s="1"/>
  <c r="AA12" i="3"/>
  <c r="AC12" i="3" s="1"/>
  <c r="AE7" i="3" s="1"/>
  <c r="AG7" i="3" s="1"/>
  <c r="AJ7" i="3" s="1"/>
  <c r="AL7" i="3" s="1"/>
  <c r="AL8" i="3" s="1"/>
  <c r="AJ8" i="3" s="1"/>
  <c r="AG8" i="3" s="1"/>
  <c r="AE8" i="3" s="1"/>
  <c r="K13" i="5" l="1"/>
  <c r="I13" i="5" s="1"/>
  <c r="F13" i="5" s="1"/>
  <c r="D13" i="5" s="1"/>
  <c r="X5" i="3"/>
  <c r="V5" i="3" s="1"/>
  <c r="S5" i="3" s="1"/>
  <c r="Q5" i="3" s="1"/>
  <c r="AC13" i="3"/>
  <c r="AA13" i="3" s="1"/>
  <c r="X16" i="3" l="1"/>
  <c r="V16" i="3" s="1"/>
  <c r="X10" i="3"/>
  <c r="V10" i="3" s="1"/>
  <c r="S13" i="3" l="1"/>
  <c r="Q13" i="3" l="1"/>
  <c r="O9" i="3" s="1"/>
  <c r="M9" i="3" s="1"/>
  <c r="J9" i="3" s="1"/>
  <c r="H9" i="3" s="1"/>
  <c r="Z18" i="9"/>
  <c r="AC18" i="9" l="1"/>
  <c r="AE18" i="9" s="1"/>
  <c r="AJ18" i="9" s="1"/>
  <c r="AL18" i="9" s="1"/>
  <c r="AO18" i="9" s="1"/>
  <c r="AQ18" i="9" s="1"/>
  <c r="AQ19" i="9" s="1"/>
  <c r="AO19" i="9" s="1"/>
  <c r="AL19" i="9" l="1"/>
  <c r="AJ19" i="9" s="1"/>
  <c r="AE19" i="9" s="1"/>
  <c r="AC19" i="9" s="1"/>
  <c r="AA28" i="9"/>
  <c r="Y28" i="9" s="1"/>
  <c r="V29" i="9" s="1"/>
  <c r="T29" i="9" s="1"/>
  <c r="Q28" i="9" l="1"/>
  <c r="O28" i="9" s="1"/>
  <c r="L28" i="9" s="1"/>
  <c r="J28" i="9" s="1"/>
  <c r="Z19" i="9"/>
  <c r="X19" i="9" s="1"/>
  <c r="U20" i="9" s="1"/>
  <c r="S20" i="9" s="1"/>
  <c r="P19" i="9" s="1"/>
  <c r="N19" i="9" s="1"/>
  <c r="T16" i="9"/>
  <c r="R16" i="9" s="1"/>
  <c r="O15" i="9" s="1"/>
  <c r="M15" i="9" s="1"/>
  <c r="O24" i="9"/>
  <c r="M24" i="9" s="1"/>
  <c r="J19" i="9" l="1"/>
  <c r="H19" i="9" s="1"/>
  <c r="E19" i="9" s="1"/>
  <c r="C19" i="9" s="1"/>
</calcChain>
</file>

<file path=xl/sharedStrings.xml><?xml version="1.0" encoding="utf-8"?>
<sst xmlns="http://schemas.openxmlformats.org/spreadsheetml/2006/main" count="270" uniqueCount="70">
  <si>
    <t>A</t>
  </si>
  <si>
    <t>B</t>
  </si>
  <si>
    <t>C</t>
  </si>
  <si>
    <t>D</t>
  </si>
  <si>
    <t>E</t>
  </si>
  <si>
    <t>F</t>
  </si>
  <si>
    <t>G</t>
  </si>
  <si>
    <t>H</t>
  </si>
  <si>
    <t>E,F</t>
  </si>
  <si>
    <t>D,G</t>
  </si>
  <si>
    <t>Cost</t>
  </si>
  <si>
    <t>Start</t>
  </si>
  <si>
    <t>End</t>
  </si>
  <si>
    <t>STT</t>
  </si>
  <si>
    <t>Cong viec</t>
  </si>
  <si>
    <t>tg rut ngan</t>
  </si>
  <si>
    <t>Chi phi</t>
  </si>
  <si>
    <t>Tổng</t>
  </si>
  <si>
    <t>Đường găng</t>
  </si>
  <si>
    <t>A-C-E-G-H</t>
  </si>
  <si>
    <t>E+F</t>
  </si>
  <si>
    <t>xh đường găng mới</t>
  </si>
  <si>
    <t>H đạt tối thiểu</t>
  </si>
  <si>
    <t>C đạt tối thiểu</t>
  </si>
  <si>
    <t>F đạt tối thiểu + đạt 8</t>
  </si>
  <si>
    <t>start</t>
  </si>
  <si>
    <t>end</t>
  </si>
  <si>
    <t>CV</t>
  </si>
  <si>
    <t>TGRN</t>
  </si>
  <si>
    <t>CP</t>
  </si>
  <si>
    <t>A-B-E-G-H</t>
  </si>
  <si>
    <t>G đạt tối thiểu</t>
  </si>
  <si>
    <t>A-B-D-H</t>
  </si>
  <si>
    <t>A-C-F-G-H</t>
  </si>
  <si>
    <t>B đạt tối thiểu</t>
  </si>
  <si>
    <t>Xh đường găng mới</t>
  </si>
  <si>
    <t>C+D+E</t>
  </si>
  <si>
    <t>D+E+F</t>
  </si>
  <si>
    <t>E đạt tối thiểu+đạt 8</t>
  </si>
  <si>
    <t>cv/tg</t>
  </si>
  <si>
    <t>J</t>
  </si>
  <si>
    <t>K</t>
  </si>
  <si>
    <t>M</t>
  </si>
  <si>
    <t>N</t>
  </si>
  <si>
    <t>I</t>
  </si>
  <si>
    <t>A-J-K-I</t>
  </si>
  <si>
    <t>RÚT NGẮN 5 TUẦN</t>
  </si>
  <si>
    <t>E+J</t>
  </si>
  <si>
    <t>E+K</t>
  </si>
  <si>
    <t>H+J</t>
  </si>
  <si>
    <t>H+K</t>
  </si>
  <si>
    <t>A-E-H-I</t>
  </si>
  <si>
    <t>A-J-K-M-N</t>
  </si>
  <si>
    <t>I+M</t>
  </si>
  <si>
    <t>I+N</t>
  </si>
  <si>
    <t>xh găng mới 3</t>
  </si>
  <si>
    <t>A-D-F-G-H-I</t>
  </si>
  <si>
    <t>xh găng mới 4</t>
  </si>
  <si>
    <t>E+J+D</t>
  </si>
  <si>
    <t>E+K+D</t>
  </si>
  <si>
    <t>K đạt tối thiểu+đạt 5</t>
  </si>
  <si>
    <t>đường găng</t>
  </si>
  <si>
    <t>A-B-F-I</t>
  </si>
  <si>
    <t>TG</t>
  </si>
  <si>
    <t>I đạt tối thiểu</t>
  </si>
  <si>
    <t>A đạt tối thiểu</t>
  </si>
  <si>
    <t>A-B-E-H-I</t>
  </si>
  <si>
    <t>F+H</t>
  </si>
  <si>
    <t>F đạt tối thiểu</t>
  </si>
  <si>
    <t>B đạt tối thiểu+đạt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</si>
</sst>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6" fillId="4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7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6" fillId="4" borderId="0" xfId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/>
    <xf numFmtId="0" fontId="9" fillId="7" borderId="0" xfId="3"/>
    <xf numFmtId="0" fontId="11" fillId="12" borderId="0" xfId="8"/>
    <xf numFmtId="0" fontId="8" fillId="6" borderId="0" xfId="2"/>
    <xf numFmtId="0" fontId="6" fillId="4" borderId="0" xfId="1"/>
    <xf numFmtId="0" fontId="8" fillId="6" borderId="8" xfId="2" applyBorder="1" applyAlignment="1">
      <alignment horizontal="center"/>
    </xf>
    <xf numFmtId="0" fontId="0" fillId="0" borderId="8" xfId="0" applyBorder="1" applyAlignment="1">
      <alignment horizontal="center"/>
    </xf>
    <xf numFmtId="0" fontId="9" fillId="7" borderId="8" xfId="3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1" fillId="9" borderId="0" xfId="5"/>
    <xf numFmtId="0" fontId="7" fillId="8" borderId="0" xfId="4"/>
    <xf numFmtId="0" fontId="11" fillId="10" borderId="0" xfId="6"/>
    <xf numFmtId="0" fontId="11" fillId="11" borderId="0" xfId="7"/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10" fillId="0" borderId="0" xfId="0" applyFont="1" applyAlignment="1">
      <alignment horizontal="center"/>
    </xf>
    <xf numFmtId="0" fontId="9" fillId="7" borderId="15" xfId="3" applyBorder="1" applyAlignment="1">
      <alignment horizontal="center"/>
    </xf>
    <xf numFmtId="0" fontId="8" fillId="6" borderId="15" xfId="2" applyBorder="1" applyAlignment="1">
      <alignment horizontal="center"/>
    </xf>
    <xf numFmtId="0" fontId="9" fillId="0" borderId="0" xfId="3" applyFill="1" applyBorder="1" applyAlignment="1">
      <alignment horizontal="center"/>
    </xf>
    <xf numFmtId="0" fontId="8" fillId="0" borderId="0" xfId="2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5" fillId="0" borderId="6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9">
    <cellStyle name="40% - Accent1" xfId="4" builtinId="31"/>
    <cellStyle name="60% - Accent6" xfId="8" builtinId="52"/>
    <cellStyle name="Accent2" xfId="5" builtinId="33"/>
    <cellStyle name="Accent3" xfId="6" builtinId="37"/>
    <cellStyle name="Accent5" xfId="7" builtinId="45"/>
    <cellStyle name="Bad" xfId="1" builtinId="27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4</xdr:row>
      <xdr:rowOff>0</xdr:rowOff>
    </xdr:from>
    <xdr:to>
      <xdr:col>6</xdr:col>
      <xdr:colOff>579120</xdr:colOff>
      <xdr:row>5</xdr:row>
      <xdr:rowOff>114300</xdr:rowOff>
    </xdr:to>
    <xdr:sp macro="" textlink="">
      <xdr:nvSpPr>
        <xdr:cNvPr id="2" name="Oval 1"/>
        <xdr:cNvSpPr/>
      </xdr:nvSpPr>
      <xdr:spPr>
        <a:xfrm>
          <a:off x="3893820" y="762000"/>
          <a:ext cx="342900" cy="29718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365760</xdr:colOff>
      <xdr:row>8</xdr:row>
      <xdr:rowOff>30480</xdr:rowOff>
    </xdr:from>
    <xdr:to>
      <xdr:col>7</xdr:col>
      <xdr:colOff>99060</xdr:colOff>
      <xdr:row>9</xdr:row>
      <xdr:rowOff>144780</xdr:rowOff>
    </xdr:to>
    <xdr:sp macro="" textlink="">
      <xdr:nvSpPr>
        <xdr:cNvPr id="3" name="Oval 2"/>
        <xdr:cNvSpPr/>
      </xdr:nvSpPr>
      <xdr:spPr>
        <a:xfrm>
          <a:off x="4023360" y="1524000"/>
          <a:ext cx="342900" cy="29718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</a:p>
      </xdr:txBody>
    </xdr:sp>
    <xdr:clientData/>
  </xdr:twoCellAnchor>
  <xdr:twoCellAnchor>
    <xdr:from>
      <xdr:col>8</xdr:col>
      <xdr:colOff>304800</xdr:colOff>
      <xdr:row>8</xdr:row>
      <xdr:rowOff>22860</xdr:rowOff>
    </xdr:from>
    <xdr:to>
      <xdr:col>9</xdr:col>
      <xdr:colOff>38100</xdr:colOff>
      <xdr:row>9</xdr:row>
      <xdr:rowOff>137160</xdr:rowOff>
    </xdr:to>
    <xdr:sp macro="" textlink="">
      <xdr:nvSpPr>
        <xdr:cNvPr id="4" name="Oval 3"/>
        <xdr:cNvSpPr/>
      </xdr:nvSpPr>
      <xdr:spPr>
        <a:xfrm>
          <a:off x="5181600" y="1516380"/>
          <a:ext cx="342900" cy="29718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</a:t>
          </a:r>
        </a:p>
      </xdr:txBody>
    </xdr:sp>
    <xdr:clientData/>
  </xdr:twoCellAnchor>
  <xdr:twoCellAnchor>
    <xdr:from>
      <xdr:col>10</xdr:col>
      <xdr:colOff>76200</xdr:colOff>
      <xdr:row>11</xdr:row>
      <xdr:rowOff>22860</xdr:rowOff>
    </xdr:from>
    <xdr:to>
      <xdr:col>10</xdr:col>
      <xdr:colOff>419100</xdr:colOff>
      <xdr:row>12</xdr:row>
      <xdr:rowOff>137160</xdr:rowOff>
    </xdr:to>
    <xdr:sp macro="" textlink="">
      <xdr:nvSpPr>
        <xdr:cNvPr id="5" name="Oval 4"/>
        <xdr:cNvSpPr/>
      </xdr:nvSpPr>
      <xdr:spPr>
        <a:xfrm>
          <a:off x="6172200" y="2065020"/>
          <a:ext cx="342900" cy="29718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</a:t>
          </a:r>
        </a:p>
      </xdr:txBody>
    </xdr:sp>
    <xdr:clientData/>
  </xdr:twoCellAnchor>
  <xdr:twoCellAnchor>
    <xdr:from>
      <xdr:col>10</xdr:col>
      <xdr:colOff>60960</xdr:colOff>
      <xdr:row>4</xdr:row>
      <xdr:rowOff>30480</xdr:rowOff>
    </xdr:from>
    <xdr:to>
      <xdr:col>10</xdr:col>
      <xdr:colOff>403860</xdr:colOff>
      <xdr:row>5</xdr:row>
      <xdr:rowOff>144780</xdr:rowOff>
    </xdr:to>
    <xdr:sp macro="" textlink="">
      <xdr:nvSpPr>
        <xdr:cNvPr id="6" name="Oval 5"/>
        <xdr:cNvSpPr/>
      </xdr:nvSpPr>
      <xdr:spPr>
        <a:xfrm>
          <a:off x="6156960" y="792480"/>
          <a:ext cx="342900" cy="29718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</a:t>
          </a:r>
        </a:p>
      </xdr:txBody>
    </xdr:sp>
    <xdr:clientData/>
  </xdr:twoCellAnchor>
  <xdr:twoCellAnchor>
    <xdr:from>
      <xdr:col>11</xdr:col>
      <xdr:colOff>457200</xdr:colOff>
      <xdr:row>4</xdr:row>
      <xdr:rowOff>30480</xdr:rowOff>
    </xdr:from>
    <xdr:to>
      <xdr:col>12</xdr:col>
      <xdr:colOff>190500</xdr:colOff>
      <xdr:row>5</xdr:row>
      <xdr:rowOff>144780</xdr:rowOff>
    </xdr:to>
    <xdr:sp macro="" textlink="">
      <xdr:nvSpPr>
        <xdr:cNvPr id="7" name="Oval 6"/>
        <xdr:cNvSpPr/>
      </xdr:nvSpPr>
      <xdr:spPr>
        <a:xfrm>
          <a:off x="7162800" y="792480"/>
          <a:ext cx="342900" cy="29718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</a:t>
          </a:r>
        </a:p>
      </xdr:txBody>
    </xdr:sp>
    <xdr:clientData/>
  </xdr:twoCellAnchor>
  <xdr:twoCellAnchor>
    <xdr:from>
      <xdr:col>11</xdr:col>
      <xdr:colOff>563880</xdr:colOff>
      <xdr:row>11</xdr:row>
      <xdr:rowOff>22860</xdr:rowOff>
    </xdr:from>
    <xdr:to>
      <xdr:col>12</xdr:col>
      <xdr:colOff>297180</xdr:colOff>
      <xdr:row>12</xdr:row>
      <xdr:rowOff>137160</xdr:rowOff>
    </xdr:to>
    <xdr:sp macro="" textlink="">
      <xdr:nvSpPr>
        <xdr:cNvPr id="10" name="Oval 9"/>
        <xdr:cNvSpPr/>
      </xdr:nvSpPr>
      <xdr:spPr>
        <a:xfrm>
          <a:off x="7269480" y="2065020"/>
          <a:ext cx="342900" cy="29718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</a:t>
          </a:r>
        </a:p>
      </xdr:txBody>
    </xdr:sp>
    <xdr:clientData/>
  </xdr:twoCellAnchor>
  <xdr:twoCellAnchor>
    <xdr:from>
      <xdr:col>13</xdr:col>
      <xdr:colOff>198120</xdr:colOff>
      <xdr:row>8</xdr:row>
      <xdr:rowOff>22860</xdr:rowOff>
    </xdr:from>
    <xdr:to>
      <xdr:col>13</xdr:col>
      <xdr:colOff>541020</xdr:colOff>
      <xdr:row>9</xdr:row>
      <xdr:rowOff>137160</xdr:rowOff>
    </xdr:to>
    <xdr:sp macro="" textlink="">
      <xdr:nvSpPr>
        <xdr:cNvPr id="11" name="Oval 10"/>
        <xdr:cNvSpPr/>
      </xdr:nvSpPr>
      <xdr:spPr>
        <a:xfrm>
          <a:off x="8122920" y="1516380"/>
          <a:ext cx="342900" cy="29718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7</a:t>
          </a:r>
        </a:p>
      </xdr:txBody>
    </xdr:sp>
    <xdr:clientData/>
  </xdr:twoCellAnchor>
  <xdr:twoCellAnchor>
    <xdr:from>
      <xdr:col>14</xdr:col>
      <xdr:colOff>457200</xdr:colOff>
      <xdr:row>8</xdr:row>
      <xdr:rowOff>7620</xdr:rowOff>
    </xdr:from>
    <xdr:to>
      <xdr:col>15</xdr:col>
      <xdr:colOff>472440</xdr:colOff>
      <xdr:row>9</xdr:row>
      <xdr:rowOff>137160</xdr:rowOff>
    </xdr:to>
    <xdr:sp macro="" textlink="">
      <xdr:nvSpPr>
        <xdr:cNvPr id="12" name="Oval 11"/>
        <xdr:cNvSpPr/>
      </xdr:nvSpPr>
      <xdr:spPr>
        <a:xfrm>
          <a:off x="8991600" y="1501140"/>
          <a:ext cx="624840" cy="3124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end</a:t>
          </a: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68580</xdr:colOff>
      <xdr:row>2</xdr:row>
      <xdr:rowOff>38100</xdr:rowOff>
    </xdr:from>
    <xdr:to>
      <xdr:col>7</xdr:col>
      <xdr:colOff>266700</xdr:colOff>
      <xdr:row>2</xdr:row>
      <xdr:rowOff>160020</xdr:rowOff>
    </xdr:to>
    <xdr:cxnSp macro="">
      <xdr:nvCxnSpPr>
        <xdr:cNvPr id="14" name="Straight Arrow Connector 13"/>
        <xdr:cNvCxnSpPr/>
      </xdr:nvCxnSpPr>
      <xdr:spPr>
        <a:xfrm flipV="1">
          <a:off x="3726180" y="434340"/>
          <a:ext cx="807720" cy="1219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99060</xdr:colOff>
      <xdr:row>8</xdr:row>
      <xdr:rowOff>171450</xdr:rowOff>
    </xdr:from>
    <xdr:to>
      <xdr:col>8</xdr:col>
      <xdr:colOff>304800</xdr:colOff>
      <xdr:row>8</xdr:row>
      <xdr:rowOff>179070</xdr:rowOff>
    </xdr:to>
    <xdr:cxnSp macro="">
      <xdr:nvCxnSpPr>
        <xdr:cNvPr id="16" name="Straight Arrow Connector 15"/>
        <xdr:cNvCxnSpPr>
          <a:stCxn id="3" idx="6"/>
          <a:endCxn id="4" idx="2"/>
        </xdr:cNvCxnSpPr>
      </xdr:nvCxnSpPr>
      <xdr:spPr>
        <a:xfrm flipV="1">
          <a:off x="4366260" y="1664970"/>
          <a:ext cx="8153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597483</xdr:colOff>
      <xdr:row>5</xdr:row>
      <xdr:rowOff>101259</xdr:rowOff>
    </xdr:from>
    <xdr:to>
      <xdr:col>10</xdr:col>
      <xdr:colOff>111177</xdr:colOff>
      <xdr:row>8</xdr:row>
      <xdr:rowOff>66381</xdr:rowOff>
    </xdr:to>
    <xdr:cxnSp macro="">
      <xdr:nvCxnSpPr>
        <xdr:cNvPr id="20" name="Straight Arrow Connector 19"/>
        <xdr:cNvCxnSpPr>
          <a:stCxn id="4" idx="7"/>
          <a:endCxn id="6" idx="3"/>
        </xdr:cNvCxnSpPr>
      </xdr:nvCxnSpPr>
      <xdr:spPr>
        <a:xfrm flipV="1">
          <a:off x="5474283" y="1046139"/>
          <a:ext cx="732894" cy="513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597483</xdr:colOff>
      <xdr:row>9</xdr:row>
      <xdr:rowOff>93639</xdr:rowOff>
    </xdr:from>
    <xdr:to>
      <xdr:col>10</xdr:col>
      <xdr:colOff>126417</xdr:colOff>
      <xdr:row>11</xdr:row>
      <xdr:rowOff>66381</xdr:rowOff>
    </xdr:to>
    <xdr:cxnSp macro="">
      <xdr:nvCxnSpPr>
        <xdr:cNvPr id="23" name="Straight Arrow Connector 22"/>
        <xdr:cNvCxnSpPr>
          <a:stCxn id="4" idx="5"/>
          <a:endCxn id="5" idx="1"/>
        </xdr:cNvCxnSpPr>
      </xdr:nvCxnSpPr>
      <xdr:spPr>
        <a:xfrm>
          <a:off x="5474283" y="1770039"/>
          <a:ext cx="748134" cy="3385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403860</xdr:colOff>
      <xdr:row>4</xdr:row>
      <xdr:rowOff>179070</xdr:rowOff>
    </xdr:from>
    <xdr:to>
      <xdr:col>11</xdr:col>
      <xdr:colOff>457200</xdr:colOff>
      <xdr:row>4</xdr:row>
      <xdr:rowOff>179070</xdr:rowOff>
    </xdr:to>
    <xdr:cxnSp macro="">
      <xdr:nvCxnSpPr>
        <xdr:cNvPr id="26" name="Straight Arrow Connector 25"/>
        <xdr:cNvCxnSpPr>
          <a:stCxn id="6" idx="6"/>
          <a:endCxn id="7" idx="2"/>
        </xdr:cNvCxnSpPr>
      </xdr:nvCxnSpPr>
      <xdr:spPr>
        <a:xfrm>
          <a:off x="6499860" y="941070"/>
          <a:ext cx="662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11</xdr:row>
      <xdr:rowOff>66381</xdr:rowOff>
    </xdr:from>
    <xdr:to>
      <xdr:col>12</xdr:col>
      <xdr:colOff>4497</xdr:colOff>
      <xdr:row>11</xdr:row>
      <xdr:rowOff>171450</xdr:rowOff>
    </xdr:to>
    <xdr:cxnSp macro="">
      <xdr:nvCxnSpPr>
        <xdr:cNvPr id="30" name="Straight Arrow Connector 29"/>
        <xdr:cNvCxnSpPr>
          <a:stCxn id="5" idx="6"/>
          <a:endCxn id="10" idx="1"/>
        </xdr:cNvCxnSpPr>
      </xdr:nvCxnSpPr>
      <xdr:spPr>
        <a:xfrm flipV="1">
          <a:off x="6515100" y="2108541"/>
          <a:ext cx="804597" cy="1050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11</xdr:row>
      <xdr:rowOff>171450</xdr:rowOff>
    </xdr:from>
    <xdr:to>
      <xdr:col>12</xdr:col>
      <xdr:colOff>4497</xdr:colOff>
      <xdr:row>12</xdr:row>
      <xdr:rowOff>93639</xdr:rowOff>
    </xdr:to>
    <xdr:cxnSp macro="">
      <xdr:nvCxnSpPr>
        <xdr:cNvPr id="35" name="Straight Arrow Connector 34"/>
        <xdr:cNvCxnSpPr>
          <a:stCxn id="5" idx="6"/>
          <a:endCxn id="10" idx="3"/>
        </xdr:cNvCxnSpPr>
      </xdr:nvCxnSpPr>
      <xdr:spPr>
        <a:xfrm>
          <a:off x="6515100" y="2213610"/>
          <a:ext cx="804597" cy="1050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541020</xdr:colOff>
      <xdr:row>8</xdr:row>
      <xdr:rowOff>163830</xdr:rowOff>
    </xdr:from>
    <xdr:to>
      <xdr:col>14</xdr:col>
      <xdr:colOff>457200</xdr:colOff>
      <xdr:row>8</xdr:row>
      <xdr:rowOff>171450</xdr:rowOff>
    </xdr:to>
    <xdr:cxnSp macro="">
      <xdr:nvCxnSpPr>
        <xdr:cNvPr id="40" name="Straight Arrow Connector 39"/>
        <xdr:cNvCxnSpPr>
          <a:stCxn id="11" idx="6"/>
          <a:endCxn id="12" idx="2"/>
        </xdr:cNvCxnSpPr>
      </xdr:nvCxnSpPr>
      <xdr:spPr>
        <a:xfrm flipV="1">
          <a:off x="8465820" y="1657350"/>
          <a:ext cx="5257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4</xdr:row>
      <xdr:rowOff>179070</xdr:rowOff>
    </xdr:from>
    <xdr:to>
      <xdr:col>12</xdr:col>
      <xdr:colOff>246963</xdr:colOff>
      <xdr:row>11</xdr:row>
      <xdr:rowOff>66381</xdr:rowOff>
    </xdr:to>
    <xdr:cxnSp macro="">
      <xdr:nvCxnSpPr>
        <xdr:cNvPr id="47" name="Straight Arrow Connector 46"/>
        <xdr:cNvCxnSpPr>
          <a:stCxn id="10" idx="7"/>
          <a:endCxn id="7" idx="6"/>
        </xdr:cNvCxnSpPr>
      </xdr:nvCxnSpPr>
      <xdr:spPr>
        <a:xfrm flipH="1" flipV="1">
          <a:off x="7505700" y="941070"/>
          <a:ext cx="56463" cy="11674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4</xdr:row>
      <xdr:rowOff>179070</xdr:rowOff>
    </xdr:from>
    <xdr:to>
      <xdr:col>13</xdr:col>
      <xdr:colOff>248337</xdr:colOff>
      <xdr:row>8</xdr:row>
      <xdr:rowOff>66381</xdr:rowOff>
    </xdr:to>
    <xdr:cxnSp macro="">
      <xdr:nvCxnSpPr>
        <xdr:cNvPr id="50" name="Straight Arrow Connector 49"/>
        <xdr:cNvCxnSpPr>
          <a:stCxn id="7" idx="6"/>
          <a:endCxn id="11" idx="1"/>
        </xdr:cNvCxnSpPr>
      </xdr:nvCxnSpPr>
      <xdr:spPr>
        <a:xfrm>
          <a:off x="7505700" y="941070"/>
          <a:ext cx="667437" cy="6188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274320</xdr:colOff>
      <xdr:row>7</xdr:row>
      <xdr:rowOff>99060</xdr:rowOff>
    </xdr:from>
    <xdr:to>
      <xdr:col>8</xdr:col>
      <xdr:colOff>99060</xdr:colOff>
      <xdr:row>8</xdr:row>
      <xdr:rowOff>137160</xdr:rowOff>
    </xdr:to>
    <xdr:sp macro="" textlink="">
      <xdr:nvSpPr>
        <xdr:cNvPr id="66" name="Rectangle 65"/>
        <xdr:cNvSpPr/>
      </xdr:nvSpPr>
      <xdr:spPr>
        <a:xfrm>
          <a:off x="4541520" y="1409700"/>
          <a:ext cx="4343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A=3</a:t>
          </a: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175260</xdr:colOff>
      <xdr:row>0</xdr:row>
      <xdr:rowOff>129540</xdr:rowOff>
    </xdr:from>
    <xdr:to>
      <xdr:col>7</xdr:col>
      <xdr:colOff>0</xdr:colOff>
      <xdr:row>1</xdr:row>
      <xdr:rowOff>137160</xdr:rowOff>
    </xdr:to>
    <xdr:sp macro="" textlink="">
      <xdr:nvSpPr>
        <xdr:cNvPr id="71" name="Rectangle 70"/>
        <xdr:cNvSpPr/>
      </xdr:nvSpPr>
      <xdr:spPr>
        <a:xfrm>
          <a:off x="3832860" y="129540"/>
          <a:ext cx="4343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15240</xdr:colOff>
      <xdr:row>5</xdr:row>
      <xdr:rowOff>114300</xdr:rowOff>
    </xdr:from>
    <xdr:to>
      <xdr:col>9</xdr:col>
      <xdr:colOff>449580</xdr:colOff>
      <xdr:row>6</xdr:row>
      <xdr:rowOff>152400</xdr:rowOff>
    </xdr:to>
    <xdr:sp macro="" textlink="">
      <xdr:nvSpPr>
        <xdr:cNvPr id="72" name="Rectangle 71"/>
        <xdr:cNvSpPr/>
      </xdr:nvSpPr>
      <xdr:spPr>
        <a:xfrm rot="19482851">
          <a:off x="5501640" y="1059180"/>
          <a:ext cx="4343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B=4</a:t>
          </a:r>
        </a:p>
      </xdr:txBody>
    </xdr:sp>
    <xdr:clientData/>
  </xdr:twoCellAnchor>
  <xdr:twoCellAnchor>
    <xdr:from>
      <xdr:col>9</xdr:col>
      <xdr:colOff>7619</xdr:colOff>
      <xdr:row>10</xdr:row>
      <xdr:rowOff>114299</xdr:rowOff>
    </xdr:from>
    <xdr:to>
      <xdr:col>9</xdr:col>
      <xdr:colOff>441959</xdr:colOff>
      <xdr:row>11</xdr:row>
      <xdr:rowOff>152399</xdr:rowOff>
    </xdr:to>
    <xdr:sp macro="" textlink="">
      <xdr:nvSpPr>
        <xdr:cNvPr id="73" name="Rectangle 72"/>
        <xdr:cNvSpPr/>
      </xdr:nvSpPr>
      <xdr:spPr>
        <a:xfrm rot="1576428">
          <a:off x="5494019" y="1973579"/>
          <a:ext cx="4343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C=5</a:t>
          </a:r>
        </a:p>
      </xdr:txBody>
    </xdr:sp>
    <xdr:clientData/>
  </xdr:twoCellAnchor>
  <xdr:twoCellAnchor>
    <xdr:from>
      <xdr:col>10</xdr:col>
      <xdr:colOff>548640</xdr:colOff>
      <xdr:row>3</xdr:row>
      <xdr:rowOff>106680</xdr:rowOff>
    </xdr:from>
    <xdr:to>
      <xdr:col>11</xdr:col>
      <xdr:colOff>419100</xdr:colOff>
      <xdr:row>4</xdr:row>
      <xdr:rowOff>140970</xdr:rowOff>
    </xdr:to>
    <xdr:sp macro="" textlink="">
      <xdr:nvSpPr>
        <xdr:cNvPr id="74" name="Rectangle 73"/>
        <xdr:cNvSpPr/>
      </xdr:nvSpPr>
      <xdr:spPr>
        <a:xfrm>
          <a:off x="6644640" y="685800"/>
          <a:ext cx="480060" cy="2171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D=11</a:t>
          </a:r>
        </a:p>
      </xdr:txBody>
    </xdr:sp>
    <xdr:clientData/>
  </xdr:twoCellAnchor>
  <xdr:twoCellAnchor>
    <xdr:from>
      <xdr:col>11</xdr:col>
      <xdr:colOff>7218</xdr:colOff>
      <xdr:row>10</xdr:row>
      <xdr:rowOff>40060</xdr:rowOff>
    </xdr:from>
    <xdr:to>
      <xdr:col>11</xdr:col>
      <xdr:colOff>482980</xdr:colOff>
      <xdr:row>11</xdr:row>
      <xdr:rowOff>80913</xdr:rowOff>
    </xdr:to>
    <xdr:sp macro="" textlink="">
      <xdr:nvSpPr>
        <xdr:cNvPr id="75" name="Rectangle 74"/>
        <xdr:cNvSpPr/>
      </xdr:nvSpPr>
      <xdr:spPr>
        <a:xfrm rot="21113395">
          <a:off x="6712818" y="1899340"/>
          <a:ext cx="475762" cy="22373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E=10</a:t>
          </a:r>
        </a:p>
      </xdr:txBody>
    </xdr:sp>
    <xdr:clientData/>
  </xdr:twoCellAnchor>
  <xdr:twoCellAnchor>
    <xdr:from>
      <xdr:col>11</xdr:col>
      <xdr:colOff>22860</xdr:colOff>
      <xdr:row>12</xdr:row>
      <xdr:rowOff>106680</xdr:rowOff>
    </xdr:from>
    <xdr:to>
      <xdr:col>11</xdr:col>
      <xdr:colOff>457200</xdr:colOff>
      <xdr:row>13</xdr:row>
      <xdr:rowOff>144780</xdr:rowOff>
    </xdr:to>
    <xdr:sp macro="" textlink="">
      <xdr:nvSpPr>
        <xdr:cNvPr id="76" name="Rectangle 75"/>
        <xdr:cNvSpPr/>
      </xdr:nvSpPr>
      <xdr:spPr>
        <a:xfrm rot="386058">
          <a:off x="6728460" y="2331720"/>
          <a:ext cx="4343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F=8</a:t>
          </a:r>
        </a:p>
      </xdr:txBody>
    </xdr:sp>
    <xdr:clientData/>
  </xdr:twoCellAnchor>
  <xdr:twoCellAnchor>
    <xdr:from>
      <xdr:col>11</xdr:col>
      <xdr:colOff>579120</xdr:colOff>
      <xdr:row>7</xdr:row>
      <xdr:rowOff>0</xdr:rowOff>
    </xdr:from>
    <xdr:to>
      <xdr:col>12</xdr:col>
      <xdr:colOff>190500</xdr:colOff>
      <xdr:row>9</xdr:row>
      <xdr:rowOff>68580</xdr:rowOff>
    </xdr:to>
    <xdr:sp macro="" textlink="">
      <xdr:nvSpPr>
        <xdr:cNvPr id="77" name="Rectangle 76"/>
        <xdr:cNvSpPr/>
      </xdr:nvSpPr>
      <xdr:spPr>
        <a:xfrm rot="16022679">
          <a:off x="7178040" y="1417320"/>
          <a:ext cx="4343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G=9</a:t>
          </a:r>
        </a:p>
      </xdr:txBody>
    </xdr:sp>
    <xdr:clientData/>
  </xdr:twoCellAnchor>
  <xdr:twoCellAnchor>
    <xdr:from>
      <xdr:col>12</xdr:col>
      <xdr:colOff>419100</xdr:colOff>
      <xdr:row>5</xdr:row>
      <xdr:rowOff>72390</xdr:rowOff>
    </xdr:from>
    <xdr:to>
      <xdr:col>13</xdr:col>
      <xdr:colOff>243840</xdr:colOff>
      <xdr:row>6</xdr:row>
      <xdr:rowOff>110490</xdr:rowOff>
    </xdr:to>
    <xdr:sp macro="" textlink="">
      <xdr:nvSpPr>
        <xdr:cNvPr id="78" name="Rectangle 77"/>
        <xdr:cNvSpPr/>
      </xdr:nvSpPr>
      <xdr:spPr>
        <a:xfrm rot="2497234">
          <a:off x="7734300" y="1017270"/>
          <a:ext cx="4343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H=7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388620</xdr:colOff>
      <xdr:row>8</xdr:row>
      <xdr:rowOff>7620</xdr:rowOff>
    </xdr:from>
    <xdr:to>
      <xdr:col>12</xdr:col>
      <xdr:colOff>30480</xdr:colOff>
      <xdr:row>8</xdr:row>
      <xdr:rowOff>7620</xdr:rowOff>
    </xdr:to>
    <xdr:cxnSp macro="">
      <xdr:nvCxnSpPr>
        <xdr:cNvPr id="3" name="Straight Arrow Connector 2"/>
        <xdr:cNvCxnSpPr/>
      </xdr:nvCxnSpPr>
      <xdr:spPr>
        <a:xfrm>
          <a:off x="3954780" y="2019300"/>
          <a:ext cx="8305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8</xdr:row>
      <xdr:rowOff>0</xdr:rowOff>
    </xdr:from>
    <xdr:to>
      <xdr:col>17</xdr:col>
      <xdr:colOff>175260</xdr:colOff>
      <xdr:row>11</xdr:row>
      <xdr:rowOff>22860</xdr:rowOff>
    </xdr:to>
    <xdr:cxnSp macro="">
      <xdr:nvCxnSpPr>
        <xdr:cNvPr id="13" name="Straight Arrow Connector 12"/>
        <xdr:cNvCxnSpPr/>
      </xdr:nvCxnSpPr>
      <xdr:spPr>
        <a:xfrm>
          <a:off x="5943600" y="2011680"/>
          <a:ext cx="967740" cy="777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4</xdr:row>
      <xdr:rowOff>243840</xdr:rowOff>
    </xdr:from>
    <xdr:to>
      <xdr:col>17</xdr:col>
      <xdr:colOff>182880</xdr:colOff>
      <xdr:row>7</xdr:row>
      <xdr:rowOff>243840</xdr:rowOff>
    </xdr:to>
    <xdr:cxnSp macro="">
      <xdr:nvCxnSpPr>
        <xdr:cNvPr id="15" name="Straight Arrow Connector 14"/>
        <xdr:cNvCxnSpPr/>
      </xdr:nvCxnSpPr>
      <xdr:spPr>
        <a:xfrm flipV="1">
          <a:off x="5928360" y="1249680"/>
          <a:ext cx="990600" cy="7543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</xdr:colOff>
      <xdr:row>3</xdr:row>
      <xdr:rowOff>243840</xdr:rowOff>
    </xdr:from>
    <xdr:to>
      <xdr:col>20</xdr:col>
      <xdr:colOff>388620</xdr:colOff>
      <xdr:row>4</xdr:row>
      <xdr:rowOff>0</xdr:rowOff>
    </xdr:to>
    <xdr:cxnSp macro="">
      <xdr:nvCxnSpPr>
        <xdr:cNvPr id="18" name="Straight Arrow Connector 17"/>
        <xdr:cNvCxnSpPr/>
      </xdr:nvCxnSpPr>
      <xdr:spPr>
        <a:xfrm>
          <a:off x="7536180" y="998220"/>
          <a:ext cx="77724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388620</xdr:colOff>
      <xdr:row>11</xdr:row>
      <xdr:rowOff>220980</xdr:rowOff>
    </xdr:from>
    <xdr:to>
      <xdr:col>22</xdr:col>
      <xdr:colOff>228600</xdr:colOff>
      <xdr:row>14</xdr:row>
      <xdr:rowOff>0</xdr:rowOff>
    </xdr:to>
    <xdr:cxnSp macro="">
      <xdr:nvCxnSpPr>
        <xdr:cNvPr id="22" name="Straight Arrow Connector 21"/>
        <xdr:cNvCxnSpPr/>
      </xdr:nvCxnSpPr>
      <xdr:spPr>
        <a:xfrm>
          <a:off x="7520940" y="2987040"/>
          <a:ext cx="1424940" cy="533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388620</xdr:colOff>
      <xdr:row>10</xdr:row>
      <xdr:rowOff>7620</xdr:rowOff>
    </xdr:from>
    <xdr:to>
      <xdr:col>22</xdr:col>
      <xdr:colOff>167640</xdr:colOff>
      <xdr:row>11</xdr:row>
      <xdr:rowOff>205740</xdr:rowOff>
    </xdr:to>
    <xdr:cxnSp macro="">
      <xdr:nvCxnSpPr>
        <xdr:cNvPr id="27" name="Straight Arrow Connector 26"/>
        <xdr:cNvCxnSpPr/>
      </xdr:nvCxnSpPr>
      <xdr:spPr>
        <a:xfrm flipV="1">
          <a:off x="7520940" y="2522220"/>
          <a:ext cx="1363980" cy="4495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9</xdr:row>
      <xdr:rowOff>15240</xdr:rowOff>
    </xdr:from>
    <xdr:to>
      <xdr:col>27</xdr:col>
      <xdr:colOff>236220</xdr:colOff>
      <xdr:row>10</xdr:row>
      <xdr:rowOff>243840</xdr:rowOff>
    </xdr:to>
    <xdr:cxnSp macro="">
      <xdr:nvCxnSpPr>
        <xdr:cNvPr id="30" name="Straight Arrow Connector 29"/>
        <xdr:cNvCxnSpPr/>
      </xdr:nvCxnSpPr>
      <xdr:spPr>
        <a:xfrm>
          <a:off x="9509760" y="2278380"/>
          <a:ext cx="1424940" cy="4800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</xdr:colOff>
      <xdr:row>12</xdr:row>
      <xdr:rowOff>243840</xdr:rowOff>
    </xdr:from>
    <xdr:to>
      <xdr:col>27</xdr:col>
      <xdr:colOff>205740</xdr:colOff>
      <xdr:row>14</xdr:row>
      <xdr:rowOff>243840</xdr:rowOff>
    </xdr:to>
    <xdr:cxnSp macro="">
      <xdr:nvCxnSpPr>
        <xdr:cNvPr id="33" name="Straight Arrow Connector 32"/>
        <xdr:cNvCxnSpPr/>
      </xdr:nvCxnSpPr>
      <xdr:spPr>
        <a:xfrm flipV="1">
          <a:off x="9517380" y="3261360"/>
          <a:ext cx="1386840" cy="502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</xdr:row>
      <xdr:rowOff>7620</xdr:rowOff>
    </xdr:from>
    <xdr:to>
      <xdr:col>30</xdr:col>
      <xdr:colOff>7620</xdr:colOff>
      <xdr:row>7</xdr:row>
      <xdr:rowOff>7620</xdr:rowOff>
    </xdr:to>
    <xdr:cxnSp macro="">
      <xdr:nvCxnSpPr>
        <xdr:cNvPr id="37" name="Straight Arrow Connector 36"/>
        <xdr:cNvCxnSpPr/>
      </xdr:nvCxnSpPr>
      <xdr:spPr>
        <a:xfrm>
          <a:off x="9509760" y="1013460"/>
          <a:ext cx="2385060" cy="7543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381000</xdr:colOff>
      <xdr:row>7</xdr:row>
      <xdr:rowOff>0</xdr:rowOff>
    </xdr:from>
    <xdr:to>
      <xdr:col>35</xdr:col>
      <xdr:colOff>15240</xdr:colOff>
      <xdr:row>7</xdr:row>
      <xdr:rowOff>7620</xdr:rowOff>
    </xdr:to>
    <xdr:cxnSp macro="">
      <xdr:nvCxnSpPr>
        <xdr:cNvPr id="42" name="Straight Arrow Connector 41"/>
        <xdr:cNvCxnSpPr/>
      </xdr:nvCxnSpPr>
      <xdr:spPr>
        <a:xfrm flipV="1">
          <a:off x="13060680" y="1760220"/>
          <a:ext cx="8229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</xdr:row>
      <xdr:rowOff>236220</xdr:rowOff>
    </xdr:from>
    <xdr:to>
      <xdr:col>30</xdr:col>
      <xdr:colOff>281940</xdr:colOff>
      <xdr:row>11</xdr:row>
      <xdr:rowOff>236220</xdr:rowOff>
    </xdr:to>
    <xdr:cxnSp macro="">
      <xdr:nvCxnSpPr>
        <xdr:cNvPr id="45" name="Straight Arrow Connector 44"/>
        <xdr:cNvCxnSpPr/>
      </xdr:nvCxnSpPr>
      <xdr:spPr>
        <a:xfrm flipV="1">
          <a:off x="11490960" y="1996440"/>
          <a:ext cx="678180" cy="10058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388620</xdr:colOff>
      <xdr:row>8</xdr:row>
      <xdr:rowOff>7620</xdr:rowOff>
    </xdr:from>
    <xdr:to>
      <xdr:col>12</xdr:col>
      <xdr:colOff>30480</xdr:colOff>
      <xdr:row>8</xdr:row>
      <xdr:rowOff>7620</xdr:rowOff>
    </xdr:to>
    <xdr:cxnSp macro="">
      <xdr:nvCxnSpPr>
        <xdr:cNvPr id="2" name="Straight Arrow Connector 1"/>
        <xdr:cNvCxnSpPr/>
      </xdr:nvCxnSpPr>
      <xdr:spPr>
        <a:xfrm>
          <a:off x="3954780" y="2019300"/>
          <a:ext cx="8305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8</xdr:row>
      <xdr:rowOff>0</xdr:rowOff>
    </xdr:from>
    <xdr:to>
      <xdr:col>17</xdr:col>
      <xdr:colOff>175260</xdr:colOff>
      <xdr:row>11</xdr:row>
      <xdr:rowOff>22860</xdr:rowOff>
    </xdr:to>
    <xdr:cxnSp macro="">
      <xdr:nvCxnSpPr>
        <xdr:cNvPr id="3" name="Straight Arrow Connector 2"/>
        <xdr:cNvCxnSpPr/>
      </xdr:nvCxnSpPr>
      <xdr:spPr>
        <a:xfrm>
          <a:off x="5943600" y="2011680"/>
          <a:ext cx="967740" cy="777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4</xdr:row>
      <xdr:rowOff>243840</xdr:rowOff>
    </xdr:from>
    <xdr:to>
      <xdr:col>17</xdr:col>
      <xdr:colOff>182880</xdr:colOff>
      <xdr:row>7</xdr:row>
      <xdr:rowOff>243840</xdr:rowOff>
    </xdr:to>
    <xdr:cxnSp macro="">
      <xdr:nvCxnSpPr>
        <xdr:cNvPr id="4" name="Straight Arrow Connector 3"/>
        <xdr:cNvCxnSpPr/>
      </xdr:nvCxnSpPr>
      <xdr:spPr>
        <a:xfrm flipV="1">
          <a:off x="5928360" y="1249680"/>
          <a:ext cx="990600" cy="7543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</xdr:colOff>
      <xdr:row>3</xdr:row>
      <xdr:rowOff>243840</xdr:rowOff>
    </xdr:from>
    <xdr:to>
      <xdr:col>20</xdr:col>
      <xdr:colOff>388620</xdr:colOff>
      <xdr:row>4</xdr:row>
      <xdr:rowOff>0</xdr:rowOff>
    </xdr:to>
    <xdr:cxnSp macro="">
      <xdr:nvCxnSpPr>
        <xdr:cNvPr id="5" name="Straight Arrow Connector 4"/>
        <xdr:cNvCxnSpPr/>
      </xdr:nvCxnSpPr>
      <xdr:spPr>
        <a:xfrm>
          <a:off x="7536180" y="998220"/>
          <a:ext cx="77724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388620</xdr:colOff>
      <xdr:row>11</xdr:row>
      <xdr:rowOff>220980</xdr:rowOff>
    </xdr:from>
    <xdr:to>
      <xdr:col>22</xdr:col>
      <xdr:colOff>228600</xdr:colOff>
      <xdr:row>14</xdr:row>
      <xdr:rowOff>0</xdr:rowOff>
    </xdr:to>
    <xdr:cxnSp macro="">
      <xdr:nvCxnSpPr>
        <xdr:cNvPr id="6" name="Straight Arrow Connector 5"/>
        <xdr:cNvCxnSpPr/>
      </xdr:nvCxnSpPr>
      <xdr:spPr>
        <a:xfrm>
          <a:off x="7520940" y="2987040"/>
          <a:ext cx="1424940" cy="533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388620</xdr:colOff>
      <xdr:row>10</xdr:row>
      <xdr:rowOff>7620</xdr:rowOff>
    </xdr:from>
    <xdr:to>
      <xdr:col>22</xdr:col>
      <xdr:colOff>167640</xdr:colOff>
      <xdr:row>11</xdr:row>
      <xdr:rowOff>205740</xdr:rowOff>
    </xdr:to>
    <xdr:cxnSp macro="">
      <xdr:nvCxnSpPr>
        <xdr:cNvPr id="7" name="Straight Arrow Connector 6"/>
        <xdr:cNvCxnSpPr/>
      </xdr:nvCxnSpPr>
      <xdr:spPr>
        <a:xfrm flipV="1">
          <a:off x="7520940" y="2522220"/>
          <a:ext cx="1363980" cy="4495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9</xdr:row>
      <xdr:rowOff>15240</xdr:rowOff>
    </xdr:from>
    <xdr:to>
      <xdr:col>27</xdr:col>
      <xdr:colOff>236220</xdr:colOff>
      <xdr:row>10</xdr:row>
      <xdr:rowOff>243840</xdr:rowOff>
    </xdr:to>
    <xdr:cxnSp macro="">
      <xdr:nvCxnSpPr>
        <xdr:cNvPr id="8" name="Straight Arrow Connector 7"/>
        <xdr:cNvCxnSpPr/>
      </xdr:nvCxnSpPr>
      <xdr:spPr>
        <a:xfrm>
          <a:off x="9509760" y="2278380"/>
          <a:ext cx="1424940" cy="4800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</xdr:colOff>
      <xdr:row>12</xdr:row>
      <xdr:rowOff>243840</xdr:rowOff>
    </xdr:from>
    <xdr:to>
      <xdr:col>27</xdr:col>
      <xdr:colOff>205740</xdr:colOff>
      <xdr:row>14</xdr:row>
      <xdr:rowOff>243840</xdr:rowOff>
    </xdr:to>
    <xdr:cxnSp macro="">
      <xdr:nvCxnSpPr>
        <xdr:cNvPr id="9" name="Straight Arrow Connector 8"/>
        <xdr:cNvCxnSpPr/>
      </xdr:nvCxnSpPr>
      <xdr:spPr>
        <a:xfrm flipV="1">
          <a:off x="9517380" y="3261360"/>
          <a:ext cx="1386840" cy="502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</xdr:row>
      <xdr:rowOff>7620</xdr:rowOff>
    </xdr:from>
    <xdr:to>
      <xdr:col>30</xdr:col>
      <xdr:colOff>7620</xdr:colOff>
      <xdr:row>7</xdr:row>
      <xdr:rowOff>7620</xdr:rowOff>
    </xdr:to>
    <xdr:cxnSp macro="">
      <xdr:nvCxnSpPr>
        <xdr:cNvPr id="10" name="Straight Arrow Connector 9"/>
        <xdr:cNvCxnSpPr/>
      </xdr:nvCxnSpPr>
      <xdr:spPr>
        <a:xfrm>
          <a:off x="9509760" y="1013460"/>
          <a:ext cx="2385060" cy="7543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381000</xdr:colOff>
      <xdr:row>7</xdr:row>
      <xdr:rowOff>0</xdr:rowOff>
    </xdr:from>
    <xdr:to>
      <xdr:col>35</xdr:col>
      <xdr:colOff>15240</xdr:colOff>
      <xdr:row>7</xdr:row>
      <xdr:rowOff>7620</xdr:rowOff>
    </xdr:to>
    <xdr:cxnSp macro="">
      <xdr:nvCxnSpPr>
        <xdr:cNvPr id="11" name="Straight Arrow Connector 10"/>
        <xdr:cNvCxnSpPr/>
      </xdr:nvCxnSpPr>
      <xdr:spPr>
        <a:xfrm flipV="1">
          <a:off x="13060680" y="1760220"/>
          <a:ext cx="8229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</xdr:row>
      <xdr:rowOff>236220</xdr:rowOff>
    </xdr:from>
    <xdr:to>
      <xdr:col>30</xdr:col>
      <xdr:colOff>281940</xdr:colOff>
      <xdr:row>11</xdr:row>
      <xdr:rowOff>236220</xdr:rowOff>
    </xdr:to>
    <xdr:cxnSp macro="">
      <xdr:nvCxnSpPr>
        <xdr:cNvPr id="12" name="Straight Arrow Connector 11"/>
        <xdr:cNvCxnSpPr/>
      </xdr:nvCxnSpPr>
      <xdr:spPr>
        <a:xfrm flipV="1">
          <a:off x="11490960" y="1996440"/>
          <a:ext cx="678180" cy="10058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</xdr:row>
      <xdr:rowOff>213360</xdr:rowOff>
    </xdr:from>
    <xdr:to>
      <xdr:col>12</xdr:col>
      <xdr:colOff>30480</xdr:colOff>
      <xdr:row>7</xdr:row>
      <xdr:rowOff>213360</xdr:rowOff>
    </xdr:to>
    <xdr:cxnSp macro="">
      <xdr:nvCxnSpPr>
        <xdr:cNvPr id="14" name="Straight Arrow Connector 13"/>
        <xdr:cNvCxnSpPr/>
      </xdr:nvCxnSpPr>
      <xdr:spPr>
        <a:xfrm>
          <a:off x="3962400" y="1973580"/>
          <a:ext cx="82296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</xdr:colOff>
      <xdr:row>7</xdr:row>
      <xdr:rowOff>228600</xdr:rowOff>
    </xdr:from>
    <xdr:to>
      <xdr:col>17</xdr:col>
      <xdr:colOff>243840</xdr:colOff>
      <xdr:row>11</xdr:row>
      <xdr:rowOff>22860</xdr:rowOff>
    </xdr:to>
    <xdr:cxnSp macro="">
      <xdr:nvCxnSpPr>
        <xdr:cNvPr id="20" name="Straight Arrow Connector 19"/>
        <xdr:cNvCxnSpPr/>
      </xdr:nvCxnSpPr>
      <xdr:spPr>
        <a:xfrm>
          <a:off x="5966460" y="1988820"/>
          <a:ext cx="1013460" cy="8001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</xdr:colOff>
      <xdr:row>10</xdr:row>
      <xdr:rowOff>0</xdr:rowOff>
    </xdr:from>
    <xdr:to>
      <xdr:col>22</xdr:col>
      <xdr:colOff>91440</xdr:colOff>
      <xdr:row>11</xdr:row>
      <xdr:rowOff>160020</xdr:rowOff>
    </xdr:to>
    <xdr:cxnSp macro="">
      <xdr:nvCxnSpPr>
        <xdr:cNvPr id="28" name="Straight Arrow Connector 27"/>
        <xdr:cNvCxnSpPr/>
      </xdr:nvCxnSpPr>
      <xdr:spPr>
        <a:xfrm flipV="1">
          <a:off x="7536180" y="2514600"/>
          <a:ext cx="1272540" cy="4114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</xdr:colOff>
      <xdr:row>8</xdr:row>
      <xdr:rowOff>228600</xdr:rowOff>
    </xdr:from>
    <xdr:to>
      <xdr:col>27</xdr:col>
      <xdr:colOff>365760</xdr:colOff>
      <xdr:row>11</xdr:row>
      <xdr:rowOff>0</xdr:rowOff>
    </xdr:to>
    <xdr:cxnSp macro="">
      <xdr:nvCxnSpPr>
        <xdr:cNvPr id="32" name="Straight Arrow Connector 31"/>
        <xdr:cNvCxnSpPr/>
      </xdr:nvCxnSpPr>
      <xdr:spPr>
        <a:xfrm>
          <a:off x="9525000" y="2240280"/>
          <a:ext cx="1539240" cy="5257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15240</xdr:colOff>
      <xdr:row>7</xdr:row>
      <xdr:rowOff>243840</xdr:rowOff>
    </xdr:from>
    <xdr:to>
      <xdr:col>30</xdr:col>
      <xdr:colOff>243840</xdr:colOff>
      <xdr:row>11</xdr:row>
      <xdr:rowOff>152400</xdr:rowOff>
    </xdr:to>
    <xdr:cxnSp macro="">
      <xdr:nvCxnSpPr>
        <xdr:cNvPr id="36" name="Straight Arrow Connector 35"/>
        <xdr:cNvCxnSpPr/>
      </xdr:nvCxnSpPr>
      <xdr:spPr>
        <a:xfrm flipV="1">
          <a:off x="11506200" y="2004060"/>
          <a:ext cx="624840" cy="9144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373380</xdr:colOff>
      <xdr:row>7</xdr:row>
      <xdr:rowOff>45720</xdr:rowOff>
    </xdr:from>
    <xdr:to>
      <xdr:col>35</xdr:col>
      <xdr:colOff>30480</xdr:colOff>
      <xdr:row>7</xdr:row>
      <xdr:rowOff>60960</xdr:rowOff>
    </xdr:to>
    <xdr:cxnSp macro="">
      <xdr:nvCxnSpPr>
        <xdr:cNvPr id="41" name="Straight Arrow Connector 40"/>
        <xdr:cNvCxnSpPr/>
      </xdr:nvCxnSpPr>
      <xdr:spPr>
        <a:xfrm flipV="1">
          <a:off x="13053060" y="1805940"/>
          <a:ext cx="84582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</xdr:colOff>
      <xdr:row>12</xdr:row>
      <xdr:rowOff>30480</xdr:rowOff>
    </xdr:from>
    <xdr:to>
      <xdr:col>22</xdr:col>
      <xdr:colOff>160020</xdr:colOff>
      <xdr:row>14</xdr:row>
      <xdr:rowOff>15240</xdr:rowOff>
    </xdr:to>
    <xdr:cxnSp macro="">
      <xdr:nvCxnSpPr>
        <xdr:cNvPr id="19" name="Straight Arrow Connector 18"/>
        <xdr:cNvCxnSpPr/>
      </xdr:nvCxnSpPr>
      <xdr:spPr>
        <a:xfrm>
          <a:off x="7673340" y="3048000"/>
          <a:ext cx="1341120" cy="6934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</xdr:row>
      <xdr:rowOff>15240</xdr:rowOff>
    </xdr:from>
    <xdr:to>
      <xdr:col>27</xdr:col>
      <xdr:colOff>266700</xdr:colOff>
      <xdr:row>15</xdr:row>
      <xdr:rowOff>45720</xdr:rowOff>
    </xdr:to>
    <xdr:cxnSp macro="">
      <xdr:nvCxnSpPr>
        <xdr:cNvPr id="25" name="Straight Arrow Connector 24"/>
        <xdr:cNvCxnSpPr/>
      </xdr:nvCxnSpPr>
      <xdr:spPr>
        <a:xfrm flipV="1">
          <a:off x="9646920" y="3284220"/>
          <a:ext cx="1455420" cy="7391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289560</xdr:colOff>
      <xdr:row>0</xdr:row>
      <xdr:rowOff>22860</xdr:rowOff>
    </xdr:from>
    <xdr:to>
      <xdr:col>12</xdr:col>
      <xdr:colOff>604269</xdr:colOff>
      <xdr:row>6</xdr:row>
      <xdr:rowOff>106845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6360" y="22860"/>
          <a:ext cx="2753109" cy="1181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295997</xdr:colOff>
      <xdr:row>6</xdr:row>
      <xdr:rowOff>122090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172797" cy="1219370"/>
        </a:xfrm>
        <a:prstGeom prst="rect">
          <a:avLst/>
        </a:prstGeom>
      </xdr:spPr>
    </xdr:pic>
    <xdr:clientData/>
  </xdr:twoCellAnchor>
  <xdr:twoCellAnchor>
    <xdr:from>
      <xdr:col>11</xdr:col>
      <xdr:colOff>579120</xdr:colOff>
      <xdr:row>9</xdr:row>
      <xdr:rowOff>38100</xdr:rowOff>
    </xdr:from>
    <xdr:to>
      <xdr:col>12</xdr:col>
      <xdr:colOff>548640</xdr:colOff>
      <xdr:row>12</xdr:row>
      <xdr:rowOff>7620</xdr:rowOff>
    </xdr:to>
    <xdr:sp macro="" textlink="">
      <xdr:nvSpPr>
        <xdr:cNvPr id="7" name="Oval 6"/>
        <xdr:cNvSpPr/>
      </xdr:nvSpPr>
      <xdr:spPr>
        <a:xfrm>
          <a:off x="7284720" y="1684020"/>
          <a:ext cx="579120" cy="5181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7</a:t>
          </a:r>
        </a:p>
      </xdr:txBody>
    </xdr:sp>
    <xdr:clientData/>
  </xdr:twoCellAnchor>
  <xdr:twoCellAnchor>
    <xdr:from>
      <xdr:col>1</xdr:col>
      <xdr:colOff>388620</xdr:colOff>
      <xdr:row>11</xdr:row>
      <xdr:rowOff>137160</xdr:rowOff>
    </xdr:from>
    <xdr:to>
      <xdr:col>2</xdr:col>
      <xdr:colOff>259080</xdr:colOff>
      <xdr:row>13</xdr:row>
      <xdr:rowOff>22860</xdr:rowOff>
    </xdr:to>
    <xdr:sp macro="" textlink="">
      <xdr:nvSpPr>
        <xdr:cNvPr id="10" name="Rectangle 9"/>
        <xdr:cNvSpPr/>
      </xdr:nvSpPr>
      <xdr:spPr>
        <a:xfrm>
          <a:off x="998220" y="2148840"/>
          <a:ext cx="48006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A=3</a:t>
          </a:r>
        </a:p>
      </xdr:txBody>
    </xdr:sp>
    <xdr:clientData/>
  </xdr:twoCellAnchor>
  <xdr:twoCellAnchor>
    <xdr:from>
      <xdr:col>2</xdr:col>
      <xdr:colOff>403860</xdr:colOff>
      <xdr:row>11</xdr:row>
      <xdr:rowOff>160020</xdr:rowOff>
    </xdr:from>
    <xdr:to>
      <xdr:col>3</xdr:col>
      <xdr:colOff>373380</xdr:colOff>
      <xdr:row>14</xdr:row>
      <xdr:rowOff>129540</xdr:rowOff>
    </xdr:to>
    <xdr:sp macro="" textlink="">
      <xdr:nvSpPr>
        <xdr:cNvPr id="12" name="Oval 11"/>
        <xdr:cNvSpPr/>
      </xdr:nvSpPr>
      <xdr:spPr>
        <a:xfrm>
          <a:off x="1623060" y="2171700"/>
          <a:ext cx="579120" cy="5181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3</xdr:col>
      <xdr:colOff>288570</xdr:colOff>
      <xdr:row>10</xdr:row>
      <xdr:rowOff>152400</xdr:rowOff>
    </xdr:from>
    <xdr:to>
      <xdr:col>5</xdr:col>
      <xdr:colOff>83820</xdr:colOff>
      <xdr:row>12</xdr:row>
      <xdr:rowOff>53023</xdr:rowOff>
    </xdr:to>
    <xdr:cxnSp macro="">
      <xdr:nvCxnSpPr>
        <xdr:cNvPr id="13" name="Straight Arrow Connector 12"/>
        <xdr:cNvCxnSpPr>
          <a:stCxn id="12" idx="7"/>
          <a:endCxn id="23" idx="2"/>
        </xdr:cNvCxnSpPr>
      </xdr:nvCxnSpPr>
      <xdr:spPr>
        <a:xfrm flipV="1">
          <a:off x="2117370" y="1981200"/>
          <a:ext cx="1014450" cy="26638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7620</xdr:colOff>
      <xdr:row>15</xdr:row>
      <xdr:rowOff>7620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60320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288570</xdr:colOff>
      <xdr:row>14</xdr:row>
      <xdr:rowOff>53657</xdr:rowOff>
    </xdr:from>
    <xdr:to>
      <xdr:col>5</xdr:col>
      <xdr:colOff>45720</xdr:colOff>
      <xdr:row>16</xdr:row>
      <xdr:rowOff>45720</xdr:rowOff>
    </xdr:to>
    <xdr:cxnSp macro="">
      <xdr:nvCxnSpPr>
        <xdr:cNvPr id="19" name="Straight Arrow Connector 18"/>
        <xdr:cNvCxnSpPr>
          <a:stCxn id="12" idx="5"/>
          <a:endCxn id="25" idx="2"/>
        </xdr:cNvCxnSpPr>
      </xdr:nvCxnSpPr>
      <xdr:spPr>
        <a:xfrm>
          <a:off x="2117370" y="2613977"/>
          <a:ext cx="976350" cy="3578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</xdr:colOff>
      <xdr:row>9</xdr:row>
      <xdr:rowOff>76200</xdr:rowOff>
    </xdr:from>
    <xdr:to>
      <xdr:col>6</xdr:col>
      <xdr:colOff>53340</xdr:colOff>
      <xdr:row>12</xdr:row>
      <xdr:rowOff>45720</xdr:rowOff>
    </xdr:to>
    <xdr:sp macro="" textlink="">
      <xdr:nvSpPr>
        <xdr:cNvPr id="23" name="Oval 22"/>
        <xdr:cNvSpPr/>
      </xdr:nvSpPr>
      <xdr:spPr>
        <a:xfrm>
          <a:off x="3131820" y="1722120"/>
          <a:ext cx="579120" cy="5181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3</a:t>
          </a:r>
        </a:p>
      </xdr:txBody>
    </xdr:sp>
    <xdr:clientData/>
  </xdr:twoCellAnchor>
  <xdr:twoCellAnchor>
    <xdr:from>
      <xdr:col>5</xdr:col>
      <xdr:colOff>45720</xdr:colOff>
      <xdr:row>14</xdr:row>
      <xdr:rowOff>152400</xdr:rowOff>
    </xdr:from>
    <xdr:to>
      <xdr:col>6</xdr:col>
      <xdr:colOff>15240</xdr:colOff>
      <xdr:row>17</xdr:row>
      <xdr:rowOff>121920</xdr:rowOff>
    </xdr:to>
    <xdr:sp macro="" textlink="">
      <xdr:nvSpPr>
        <xdr:cNvPr id="25" name="Oval 24"/>
        <xdr:cNvSpPr/>
      </xdr:nvSpPr>
      <xdr:spPr>
        <a:xfrm>
          <a:off x="3093720" y="2712720"/>
          <a:ext cx="579120" cy="5181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0</xdr:col>
      <xdr:colOff>160020</xdr:colOff>
      <xdr:row>11</xdr:row>
      <xdr:rowOff>152400</xdr:rowOff>
    </xdr:from>
    <xdr:to>
      <xdr:col>1</xdr:col>
      <xdr:colOff>129540</xdr:colOff>
      <xdr:row>14</xdr:row>
      <xdr:rowOff>121920</xdr:rowOff>
    </xdr:to>
    <xdr:sp macro="" textlink="">
      <xdr:nvSpPr>
        <xdr:cNvPr id="29" name="Oval 28"/>
        <xdr:cNvSpPr/>
      </xdr:nvSpPr>
      <xdr:spPr>
        <a:xfrm>
          <a:off x="160020" y="2164080"/>
          <a:ext cx="579120" cy="5181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1</xdr:col>
      <xdr:colOff>129540</xdr:colOff>
      <xdr:row>13</xdr:row>
      <xdr:rowOff>45720</xdr:rowOff>
    </xdr:from>
    <xdr:to>
      <xdr:col>2</xdr:col>
      <xdr:colOff>403860</xdr:colOff>
      <xdr:row>13</xdr:row>
      <xdr:rowOff>53340</xdr:rowOff>
    </xdr:to>
    <xdr:cxnSp macro="">
      <xdr:nvCxnSpPr>
        <xdr:cNvPr id="30" name="Straight Arrow Connector 29"/>
        <xdr:cNvCxnSpPr>
          <a:stCxn id="29" idx="6"/>
          <a:endCxn id="12" idx="2"/>
        </xdr:cNvCxnSpPr>
      </xdr:nvCxnSpPr>
      <xdr:spPr>
        <a:xfrm>
          <a:off x="739140" y="2423160"/>
          <a:ext cx="88392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510540</xdr:colOff>
      <xdr:row>10</xdr:row>
      <xdr:rowOff>76200</xdr:rowOff>
    </xdr:from>
    <xdr:to>
      <xdr:col>11</xdr:col>
      <xdr:colOff>381000</xdr:colOff>
      <xdr:row>11</xdr:row>
      <xdr:rowOff>144780</xdr:rowOff>
    </xdr:to>
    <xdr:sp macro="" textlink="">
      <xdr:nvSpPr>
        <xdr:cNvPr id="42" name="Rectangle 41"/>
        <xdr:cNvSpPr/>
      </xdr:nvSpPr>
      <xdr:spPr>
        <a:xfrm>
          <a:off x="6606540" y="1905000"/>
          <a:ext cx="48006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H=2</a:t>
          </a:r>
        </a:p>
      </xdr:txBody>
    </xdr:sp>
    <xdr:clientData/>
  </xdr:twoCellAnchor>
  <xdr:twoCellAnchor>
    <xdr:from>
      <xdr:col>3</xdr:col>
      <xdr:colOff>532410</xdr:colOff>
      <xdr:row>10</xdr:row>
      <xdr:rowOff>160020</xdr:rowOff>
    </xdr:from>
    <xdr:to>
      <xdr:col>4</xdr:col>
      <xdr:colOff>402870</xdr:colOff>
      <xdr:row>12</xdr:row>
      <xdr:rowOff>45720</xdr:rowOff>
    </xdr:to>
    <xdr:sp macro="" textlink="">
      <xdr:nvSpPr>
        <xdr:cNvPr id="43" name="Rectangle 42"/>
        <xdr:cNvSpPr/>
      </xdr:nvSpPr>
      <xdr:spPr>
        <a:xfrm>
          <a:off x="2361210" y="1988820"/>
          <a:ext cx="48006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B=5</a:t>
          </a:r>
        </a:p>
      </xdr:txBody>
    </xdr:sp>
    <xdr:clientData/>
  </xdr:twoCellAnchor>
  <xdr:twoCellAnchor>
    <xdr:from>
      <xdr:col>3</xdr:col>
      <xdr:colOff>509550</xdr:colOff>
      <xdr:row>14</xdr:row>
      <xdr:rowOff>122237</xdr:rowOff>
    </xdr:from>
    <xdr:to>
      <xdr:col>4</xdr:col>
      <xdr:colOff>380010</xdr:colOff>
      <xdr:row>16</xdr:row>
      <xdr:rowOff>7937</xdr:rowOff>
    </xdr:to>
    <xdr:sp macro="" textlink="">
      <xdr:nvSpPr>
        <xdr:cNvPr id="45" name="Rectangle 44"/>
        <xdr:cNvSpPr/>
      </xdr:nvSpPr>
      <xdr:spPr>
        <a:xfrm>
          <a:off x="2338350" y="2682557"/>
          <a:ext cx="48006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C=3</a:t>
          </a:r>
        </a:p>
      </xdr:txBody>
    </xdr:sp>
    <xdr:clientData/>
  </xdr:twoCellAnchor>
  <xdr:twoCellAnchor>
    <xdr:from>
      <xdr:col>6</xdr:col>
      <xdr:colOff>53340</xdr:colOff>
      <xdr:row>10</xdr:row>
      <xdr:rowOff>99060</xdr:rowOff>
    </xdr:from>
    <xdr:to>
      <xdr:col>9</xdr:col>
      <xdr:colOff>304800</xdr:colOff>
      <xdr:row>10</xdr:row>
      <xdr:rowOff>152400</xdr:rowOff>
    </xdr:to>
    <xdr:cxnSp macro="">
      <xdr:nvCxnSpPr>
        <xdr:cNvPr id="47" name="Straight Arrow Connector 46"/>
        <xdr:cNvCxnSpPr>
          <a:stCxn id="23" idx="6"/>
          <a:endCxn id="53" idx="2"/>
        </xdr:cNvCxnSpPr>
      </xdr:nvCxnSpPr>
      <xdr:spPr>
        <a:xfrm flipV="1">
          <a:off x="3710940" y="1927860"/>
          <a:ext cx="2080260" cy="533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578130</xdr:colOff>
      <xdr:row>11</xdr:row>
      <xdr:rowOff>152717</xdr:rowOff>
    </xdr:from>
    <xdr:to>
      <xdr:col>8</xdr:col>
      <xdr:colOff>106680</xdr:colOff>
      <xdr:row>15</xdr:row>
      <xdr:rowOff>91440</xdr:rowOff>
    </xdr:to>
    <xdr:cxnSp macro="">
      <xdr:nvCxnSpPr>
        <xdr:cNvPr id="50" name="Straight Arrow Connector 49"/>
        <xdr:cNvCxnSpPr>
          <a:stCxn id="23" idx="5"/>
          <a:endCxn id="64" idx="0"/>
        </xdr:cNvCxnSpPr>
      </xdr:nvCxnSpPr>
      <xdr:spPr>
        <a:xfrm>
          <a:off x="3626130" y="2164397"/>
          <a:ext cx="1357350" cy="67024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9</xdr:row>
      <xdr:rowOff>22860</xdr:rowOff>
    </xdr:from>
    <xdr:to>
      <xdr:col>10</xdr:col>
      <xdr:colOff>274320</xdr:colOff>
      <xdr:row>11</xdr:row>
      <xdr:rowOff>175260</xdr:rowOff>
    </xdr:to>
    <xdr:sp macro="" textlink="">
      <xdr:nvSpPr>
        <xdr:cNvPr id="53" name="Oval 52"/>
        <xdr:cNvSpPr/>
      </xdr:nvSpPr>
      <xdr:spPr>
        <a:xfrm>
          <a:off x="5791200" y="1668780"/>
          <a:ext cx="579120" cy="5181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6</a:t>
          </a:r>
        </a:p>
      </xdr:txBody>
    </xdr:sp>
    <xdr:clientData/>
  </xdr:twoCellAnchor>
  <xdr:twoCellAnchor>
    <xdr:from>
      <xdr:col>7</xdr:col>
      <xdr:colOff>358140</xdr:colOff>
      <xdr:row>9</xdr:row>
      <xdr:rowOff>167640</xdr:rowOff>
    </xdr:from>
    <xdr:to>
      <xdr:col>8</xdr:col>
      <xdr:colOff>228600</xdr:colOff>
      <xdr:row>11</xdr:row>
      <xdr:rowOff>53340</xdr:rowOff>
    </xdr:to>
    <xdr:sp macro="" textlink="">
      <xdr:nvSpPr>
        <xdr:cNvPr id="57" name="Rectangle 56"/>
        <xdr:cNvSpPr/>
      </xdr:nvSpPr>
      <xdr:spPr>
        <a:xfrm>
          <a:off x="4625340" y="1813560"/>
          <a:ext cx="48006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D=11</a:t>
          </a:r>
        </a:p>
      </xdr:txBody>
    </xdr:sp>
    <xdr:clientData/>
  </xdr:twoCellAnchor>
  <xdr:twoCellAnchor>
    <xdr:from>
      <xdr:col>6</xdr:col>
      <xdr:colOff>358140</xdr:colOff>
      <xdr:row>12</xdr:row>
      <xdr:rowOff>121920</xdr:rowOff>
    </xdr:from>
    <xdr:to>
      <xdr:col>7</xdr:col>
      <xdr:colOff>228600</xdr:colOff>
      <xdr:row>14</xdr:row>
      <xdr:rowOff>7620</xdr:rowOff>
    </xdr:to>
    <xdr:sp macro="" textlink="">
      <xdr:nvSpPr>
        <xdr:cNvPr id="58" name="Rectangle 57"/>
        <xdr:cNvSpPr/>
      </xdr:nvSpPr>
      <xdr:spPr>
        <a:xfrm>
          <a:off x="4015740" y="2316480"/>
          <a:ext cx="48006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E=7</a:t>
          </a:r>
        </a:p>
      </xdr:txBody>
    </xdr:sp>
    <xdr:clientData/>
  </xdr:twoCellAnchor>
  <xdr:twoCellAnchor>
    <xdr:from>
      <xdr:col>6</xdr:col>
      <xdr:colOff>15240</xdr:colOff>
      <xdr:row>15</xdr:row>
      <xdr:rowOff>167323</xdr:rowOff>
    </xdr:from>
    <xdr:to>
      <xdr:col>7</xdr:col>
      <xdr:colOff>511530</xdr:colOff>
      <xdr:row>16</xdr:row>
      <xdr:rowOff>45720</xdr:rowOff>
    </xdr:to>
    <xdr:cxnSp macro="">
      <xdr:nvCxnSpPr>
        <xdr:cNvPr id="59" name="Straight Arrow Connector 58"/>
        <xdr:cNvCxnSpPr>
          <a:stCxn id="25" idx="6"/>
          <a:endCxn id="64" idx="1"/>
        </xdr:cNvCxnSpPr>
      </xdr:nvCxnSpPr>
      <xdr:spPr>
        <a:xfrm flipV="1">
          <a:off x="3672840" y="2910523"/>
          <a:ext cx="1105890" cy="612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426720</xdr:colOff>
      <xdr:row>15</xdr:row>
      <xdr:rowOff>91440</xdr:rowOff>
    </xdr:from>
    <xdr:to>
      <xdr:col>8</xdr:col>
      <xdr:colOff>396240</xdr:colOff>
      <xdr:row>18</xdr:row>
      <xdr:rowOff>60960</xdr:rowOff>
    </xdr:to>
    <xdr:sp macro="" textlink="">
      <xdr:nvSpPr>
        <xdr:cNvPr id="64" name="Oval 63"/>
        <xdr:cNvSpPr/>
      </xdr:nvSpPr>
      <xdr:spPr>
        <a:xfrm>
          <a:off x="4693920" y="2834640"/>
          <a:ext cx="579120" cy="5181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5</a:t>
          </a:r>
        </a:p>
      </xdr:txBody>
    </xdr:sp>
    <xdr:clientData/>
  </xdr:twoCellAnchor>
  <xdr:twoCellAnchor>
    <xdr:from>
      <xdr:col>6</xdr:col>
      <xdr:colOff>312420</xdr:colOff>
      <xdr:row>15</xdr:row>
      <xdr:rowOff>121920</xdr:rowOff>
    </xdr:from>
    <xdr:to>
      <xdr:col>7</xdr:col>
      <xdr:colOff>182880</xdr:colOff>
      <xdr:row>17</xdr:row>
      <xdr:rowOff>7620</xdr:rowOff>
    </xdr:to>
    <xdr:sp macro="" textlink="">
      <xdr:nvSpPr>
        <xdr:cNvPr id="66" name="Rectangle 65"/>
        <xdr:cNvSpPr/>
      </xdr:nvSpPr>
      <xdr:spPr>
        <a:xfrm>
          <a:off x="3970020" y="2865120"/>
          <a:ext cx="48006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F=4</a:t>
          </a:r>
        </a:p>
      </xdr:txBody>
    </xdr:sp>
    <xdr:clientData/>
  </xdr:twoCellAnchor>
  <xdr:twoCellAnchor>
    <xdr:from>
      <xdr:col>8</xdr:col>
      <xdr:colOff>396240</xdr:colOff>
      <xdr:row>11</xdr:row>
      <xdr:rowOff>175260</xdr:rowOff>
    </xdr:from>
    <xdr:to>
      <xdr:col>9</xdr:col>
      <xdr:colOff>594360</xdr:colOff>
      <xdr:row>16</xdr:row>
      <xdr:rowOff>167640</xdr:rowOff>
    </xdr:to>
    <xdr:cxnSp macro="">
      <xdr:nvCxnSpPr>
        <xdr:cNvPr id="68" name="Straight Arrow Connector 67"/>
        <xdr:cNvCxnSpPr>
          <a:stCxn id="64" idx="6"/>
          <a:endCxn id="53" idx="4"/>
        </xdr:cNvCxnSpPr>
      </xdr:nvCxnSpPr>
      <xdr:spPr>
        <a:xfrm flipV="1">
          <a:off x="5273040" y="2186940"/>
          <a:ext cx="807720" cy="9067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571500</xdr:colOff>
      <xdr:row>13</xdr:row>
      <xdr:rowOff>160020</xdr:rowOff>
    </xdr:from>
    <xdr:to>
      <xdr:col>9</xdr:col>
      <xdr:colOff>441960</xdr:colOff>
      <xdr:row>15</xdr:row>
      <xdr:rowOff>45720</xdr:rowOff>
    </xdr:to>
    <xdr:sp macro="" textlink="">
      <xdr:nvSpPr>
        <xdr:cNvPr id="71" name="Rectangle 70"/>
        <xdr:cNvSpPr/>
      </xdr:nvSpPr>
      <xdr:spPr>
        <a:xfrm>
          <a:off x="5448300" y="2537460"/>
          <a:ext cx="48006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G=9</a:t>
          </a:r>
        </a:p>
      </xdr:txBody>
    </xdr:sp>
    <xdr:clientData/>
  </xdr:twoCellAnchor>
  <xdr:twoCellAnchor>
    <xdr:from>
      <xdr:col>10</xdr:col>
      <xdr:colOff>274320</xdr:colOff>
      <xdr:row>10</xdr:row>
      <xdr:rowOff>30480</xdr:rowOff>
    </xdr:from>
    <xdr:to>
      <xdr:col>11</xdr:col>
      <xdr:colOff>579120</xdr:colOff>
      <xdr:row>10</xdr:row>
      <xdr:rowOff>45720</xdr:rowOff>
    </xdr:to>
    <xdr:cxnSp macro="">
      <xdr:nvCxnSpPr>
        <xdr:cNvPr id="75" name="Straight Arrow Connector 74"/>
        <xdr:cNvCxnSpPr/>
      </xdr:nvCxnSpPr>
      <xdr:spPr>
        <a:xfrm>
          <a:off x="6370320" y="1859280"/>
          <a:ext cx="91440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59777</xdr:colOff>
      <xdr:row>4</xdr:row>
      <xdr:rowOff>213530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72797" cy="121937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</xdr:colOff>
      <xdr:row>0</xdr:row>
      <xdr:rowOff>30480</xdr:rowOff>
    </xdr:from>
    <xdr:to>
      <xdr:col>16</xdr:col>
      <xdr:colOff>390909</xdr:colOff>
      <xdr:row>4</xdr:row>
      <xdr:rowOff>205905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8740" y="30480"/>
          <a:ext cx="2753109" cy="1181265"/>
        </a:xfrm>
        <a:prstGeom prst="rect">
          <a:avLst/>
        </a:prstGeom>
      </xdr:spPr>
    </xdr:pic>
    <xdr:clientData/>
  </xdr:twoCellAnchor>
  <xdr:twoCellAnchor>
    <xdr:from>
      <xdr:col>6</xdr:col>
      <xdr:colOff>22860</xdr:colOff>
      <xdr:row>6</xdr:row>
      <xdr:rowOff>129540</xdr:rowOff>
    </xdr:from>
    <xdr:to>
      <xdr:col>8</xdr:col>
      <xdr:colOff>373380</xdr:colOff>
      <xdr:row>8</xdr:row>
      <xdr:rowOff>83820</xdr:rowOff>
    </xdr:to>
    <xdr:cxnSp macro="">
      <xdr:nvCxnSpPr>
        <xdr:cNvPr id="5" name="Straight Arrow Connector 4"/>
        <xdr:cNvCxnSpPr/>
      </xdr:nvCxnSpPr>
      <xdr:spPr>
        <a:xfrm flipV="1">
          <a:off x="2811780" y="1638300"/>
          <a:ext cx="1280160" cy="4572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449580</xdr:colOff>
      <xdr:row>12</xdr:row>
      <xdr:rowOff>0</xdr:rowOff>
    </xdr:from>
    <xdr:to>
      <xdr:col>8</xdr:col>
      <xdr:colOff>7620</xdr:colOff>
      <xdr:row>12</xdr:row>
      <xdr:rowOff>7620</xdr:rowOff>
    </xdr:to>
    <xdr:cxnSp macro="">
      <xdr:nvCxnSpPr>
        <xdr:cNvPr id="7" name="Straight Arrow Connector 6"/>
        <xdr:cNvCxnSpPr/>
      </xdr:nvCxnSpPr>
      <xdr:spPr>
        <a:xfrm flipV="1">
          <a:off x="2773680" y="3017520"/>
          <a:ext cx="9525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</xdr:row>
      <xdr:rowOff>15240</xdr:rowOff>
    </xdr:from>
    <xdr:to>
      <xdr:col>13</xdr:col>
      <xdr:colOff>99060</xdr:colOff>
      <xdr:row>11</xdr:row>
      <xdr:rowOff>182880</xdr:rowOff>
    </xdr:to>
    <xdr:cxnSp macro="">
      <xdr:nvCxnSpPr>
        <xdr:cNvPr id="10" name="Straight Arrow Connector 9"/>
        <xdr:cNvCxnSpPr/>
      </xdr:nvCxnSpPr>
      <xdr:spPr>
        <a:xfrm flipV="1">
          <a:off x="5113020" y="2278380"/>
          <a:ext cx="1028700" cy="6705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11</xdr:row>
      <xdr:rowOff>243840</xdr:rowOff>
    </xdr:from>
    <xdr:to>
      <xdr:col>13</xdr:col>
      <xdr:colOff>137160</xdr:colOff>
      <xdr:row>14</xdr:row>
      <xdr:rowOff>0</xdr:rowOff>
    </xdr:to>
    <xdr:cxnSp macro="">
      <xdr:nvCxnSpPr>
        <xdr:cNvPr id="13" name="Straight Arrow Connector 12"/>
        <xdr:cNvCxnSpPr/>
      </xdr:nvCxnSpPr>
      <xdr:spPr>
        <a:xfrm>
          <a:off x="5120640" y="3009900"/>
          <a:ext cx="1059180" cy="5105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6</xdr:row>
      <xdr:rowOff>30480</xdr:rowOff>
    </xdr:from>
    <xdr:to>
      <xdr:col>17</xdr:col>
      <xdr:colOff>7620</xdr:colOff>
      <xdr:row>7</xdr:row>
      <xdr:rowOff>160020</xdr:rowOff>
    </xdr:to>
    <xdr:cxnSp macro="">
      <xdr:nvCxnSpPr>
        <xdr:cNvPr id="16" name="Straight Arrow Connector 15"/>
        <xdr:cNvCxnSpPr/>
      </xdr:nvCxnSpPr>
      <xdr:spPr>
        <a:xfrm flipV="1">
          <a:off x="6972300" y="1539240"/>
          <a:ext cx="937260" cy="381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8</xdr:row>
      <xdr:rowOff>60960</xdr:rowOff>
    </xdr:from>
    <xdr:to>
      <xdr:col>17</xdr:col>
      <xdr:colOff>457200</xdr:colOff>
      <xdr:row>10</xdr:row>
      <xdr:rowOff>7620</xdr:rowOff>
    </xdr:to>
    <xdr:cxnSp macro="">
      <xdr:nvCxnSpPr>
        <xdr:cNvPr id="19" name="Straight Arrow Connector 18"/>
        <xdr:cNvCxnSpPr/>
      </xdr:nvCxnSpPr>
      <xdr:spPr>
        <a:xfrm>
          <a:off x="6979920" y="2072640"/>
          <a:ext cx="1379220" cy="4495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</xdr:colOff>
      <xdr:row>14</xdr:row>
      <xdr:rowOff>205740</xdr:rowOff>
    </xdr:from>
    <xdr:to>
      <xdr:col>17</xdr:col>
      <xdr:colOff>22860</xdr:colOff>
      <xdr:row>14</xdr:row>
      <xdr:rowOff>205740</xdr:rowOff>
    </xdr:to>
    <xdr:cxnSp macro="">
      <xdr:nvCxnSpPr>
        <xdr:cNvPr id="22" name="Straight Arrow Connector 21"/>
        <xdr:cNvCxnSpPr/>
      </xdr:nvCxnSpPr>
      <xdr:spPr>
        <a:xfrm>
          <a:off x="6987540" y="3726180"/>
          <a:ext cx="93726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</xdr:colOff>
      <xdr:row>13</xdr:row>
      <xdr:rowOff>83820</xdr:rowOff>
    </xdr:from>
    <xdr:to>
      <xdr:col>22</xdr:col>
      <xdr:colOff>449580</xdr:colOff>
      <xdr:row>15</xdr:row>
      <xdr:rowOff>38100</xdr:rowOff>
    </xdr:to>
    <xdr:cxnSp macro="">
      <xdr:nvCxnSpPr>
        <xdr:cNvPr id="25" name="Straight Arrow Connector 24"/>
        <xdr:cNvCxnSpPr/>
      </xdr:nvCxnSpPr>
      <xdr:spPr>
        <a:xfrm flipV="1">
          <a:off x="9304020" y="3352800"/>
          <a:ext cx="1371600" cy="457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</xdr:colOff>
      <xdr:row>10</xdr:row>
      <xdr:rowOff>190500</xdr:rowOff>
    </xdr:from>
    <xdr:to>
      <xdr:col>22</xdr:col>
      <xdr:colOff>457200</xdr:colOff>
      <xdr:row>12</xdr:row>
      <xdr:rowOff>220980</xdr:rowOff>
    </xdr:to>
    <xdr:cxnSp macro="">
      <xdr:nvCxnSpPr>
        <xdr:cNvPr id="27" name="Straight Arrow Connector 26"/>
        <xdr:cNvCxnSpPr/>
      </xdr:nvCxnSpPr>
      <xdr:spPr>
        <a:xfrm>
          <a:off x="9304020" y="2705100"/>
          <a:ext cx="1379220" cy="533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</xdr:colOff>
      <xdr:row>6</xdr:row>
      <xdr:rowOff>30480</xdr:rowOff>
    </xdr:from>
    <xdr:to>
      <xdr:col>27</xdr:col>
      <xdr:colOff>15240</xdr:colOff>
      <xdr:row>7</xdr:row>
      <xdr:rowOff>68580</xdr:rowOff>
    </xdr:to>
    <xdr:cxnSp macro="">
      <xdr:nvCxnSpPr>
        <xdr:cNvPr id="30" name="Straight Arrow Connector 29"/>
        <xdr:cNvCxnSpPr/>
      </xdr:nvCxnSpPr>
      <xdr:spPr>
        <a:xfrm>
          <a:off x="9311640" y="1539240"/>
          <a:ext cx="3253740" cy="2895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220980</xdr:colOff>
      <xdr:row>7</xdr:row>
      <xdr:rowOff>114300</xdr:rowOff>
    </xdr:from>
    <xdr:to>
      <xdr:col>26</xdr:col>
      <xdr:colOff>449580</xdr:colOff>
      <xdr:row>11</xdr:row>
      <xdr:rowOff>243840</xdr:rowOff>
    </xdr:to>
    <xdr:cxnSp macro="">
      <xdr:nvCxnSpPr>
        <xdr:cNvPr id="33" name="Straight Arrow Connector 32"/>
        <xdr:cNvCxnSpPr/>
      </xdr:nvCxnSpPr>
      <xdr:spPr>
        <a:xfrm flipV="1">
          <a:off x="11376660" y="1874520"/>
          <a:ext cx="1158240" cy="11353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15240</xdr:colOff>
      <xdr:row>7</xdr:row>
      <xdr:rowOff>22860</xdr:rowOff>
    </xdr:from>
    <xdr:to>
      <xdr:col>32</xdr:col>
      <xdr:colOff>0</xdr:colOff>
      <xdr:row>7</xdr:row>
      <xdr:rowOff>22860</xdr:rowOff>
    </xdr:to>
    <xdr:cxnSp macro="">
      <xdr:nvCxnSpPr>
        <xdr:cNvPr id="35" name="Straight Arrow Connector 34"/>
        <xdr:cNvCxnSpPr/>
      </xdr:nvCxnSpPr>
      <xdr:spPr>
        <a:xfrm>
          <a:off x="14043660" y="1783080"/>
          <a:ext cx="9144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9</xdr:row>
      <xdr:rowOff>15240</xdr:rowOff>
    </xdr:from>
    <xdr:to>
      <xdr:col>12</xdr:col>
      <xdr:colOff>449580</xdr:colOff>
      <xdr:row>11</xdr:row>
      <xdr:rowOff>121920</xdr:rowOff>
    </xdr:to>
    <xdr:cxnSp macro="">
      <xdr:nvCxnSpPr>
        <xdr:cNvPr id="39" name="Straight Arrow Connector 38"/>
        <xdr:cNvCxnSpPr/>
      </xdr:nvCxnSpPr>
      <xdr:spPr>
        <a:xfrm flipV="1">
          <a:off x="5105400" y="2278380"/>
          <a:ext cx="922020" cy="6096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</xdr:colOff>
      <xdr:row>8</xdr:row>
      <xdr:rowOff>121920</xdr:rowOff>
    </xdr:from>
    <xdr:to>
      <xdr:col>17</xdr:col>
      <xdr:colOff>266700</xdr:colOff>
      <xdr:row>10</xdr:row>
      <xdr:rowOff>0</xdr:rowOff>
    </xdr:to>
    <xdr:cxnSp macro="">
      <xdr:nvCxnSpPr>
        <xdr:cNvPr id="42" name="Straight Arrow Connector 41"/>
        <xdr:cNvCxnSpPr/>
      </xdr:nvCxnSpPr>
      <xdr:spPr>
        <a:xfrm>
          <a:off x="7078980" y="2133600"/>
          <a:ext cx="1173480" cy="3810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</xdr:row>
      <xdr:rowOff>144780</xdr:rowOff>
    </xdr:from>
    <xdr:to>
      <xdr:col>23</xdr:col>
      <xdr:colOff>22860</xdr:colOff>
      <xdr:row>12</xdr:row>
      <xdr:rowOff>190500</xdr:rowOff>
    </xdr:to>
    <xdr:cxnSp macro="">
      <xdr:nvCxnSpPr>
        <xdr:cNvPr id="45" name="Straight Arrow Connector 44"/>
        <xdr:cNvCxnSpPr/>
      </xdr:nvCxnSpPr>
      <xdr:spPr>
        <a:xfrm>
          <a:off x="9380220" y="2659380"/>
          <a:ext cx="1417320" cy="5486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304800</xdr:colOff>
      <xdr:row>7</xdr:row>
      <xdr:rowOff>190500</xdr:rowOff>
    </xdr:from>
    <xdr:to>
      <xdr:col>26</xdr:col>
      <xdr:colOff>441960</xdr:colOff>
      <xdr:row>11</xdr:row>
      <xdr:rowOff>243840</xdr:rowOff>
    </xdr:to>
    <xdr:cxnSp macro="">
      <xdr:nvCxnSpPr>
        <xdr:cNvPr id="48" name="Straight Arrow Connector 47"/>
        <xdr:cNvCxnSpPr/>
      </xdr:nvCxnSpPr>
      <xdr:spPr>
        <a:xfrm flipV="1">
          <a:off x="11544300" y="1950720"/>
          <a:ext cx="1066800" cy="10591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22860</xdr:colOff>
      <xdr:row>7</xdr:row>
      <xdr:rowOff>76200</xdr:rowOff>
    </xdr:from>
    <xdr:to>
      <xdr:col>32</xdr:col>
      <xdr:colOff>22860</xdr:colOff>
      <xdr:row>7</xdr:row>
      <xdr:rowOff>83820</xdr:rowOff>
    </xdr:to>
    <xdr:cxnSp macro="">
      <xdr:nvCxnSpPr>
        <xdr:cNvPr id="51" name="Straight Arrow Connector 50"/>
        <xdr:cNvCxnSpPr/>
      </xdr:nvCxnSpPr>
      <xdr:spPr>
        <a:xfrm flipV="1">
          <a:off x="14051280" y="1836420"/>
          <a:ext cx="92964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12</xdr:row>
      <xdr:rowOff>53340</xdr:rowOff>
    </xdr:from>
    <xdr:to>
      <xdr:col>8</xdr:col>
      <xdr:colOff>7620</xdr:colOff>
      <xdr:row>12</xdr:row>
      <xdr:rowOff>53340</xdr:rowOff>
    </xdr:to>
    <xdr:cxnSp macro="">
      <xdr:nvCxnSpPr>
        <xdr:cNvPr id="54" name="Straight Arrow Connector 53"/>
        <xdr:cNvCxnSpPr/>
      </xdr:nvCxnSpPr>
      <xdr:spPr>
        <a:xfrm>
          <a:off x="2796540" y="3070860"/>
          <a:ext cx="92964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525780</xdr:colOff>
      <xdr:row>5</xdr:row>
      <xdr:rowOff>213360</xdr:rowOff>
    </xdr:from>
    <xdr:to>
      <xdr:col>16</xdr:col>
      <xdr:colOff>457200</xdr:colOff>
      <xdr:row>7</xdr:row>
      <xdr:rowOff>99060</xdr:rowOff>
    </xdr:to>
    <xdr:cxnSp macro="">
      <xdr:nvCxnSpPr>
        <xdr:cNvPr id="69" name="Straight Arrow Connector 68"/>
        <xdr:cNvCxnSpPr/>
      </xdr:nvCxnSpPr>
      <xdr:spPr>
        <a:xfrm flipV="1">
          <a:off x="7033260" y="1470660"/>
          <a:ext cx="944880" cy="388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</xdr:colOff>
      <xdr:row>5</xdr:row>
      <xdr:rowOff>228600</xdr:rowOff>
    </xdr:from>
    <xdr:to>
      <xdr:col>27</xdr:col>
      <xdr:colOff>22860</xdr:colOff>
      <xdr:row>7</xdr:row>
      <xdr:rowOff>7620</xdr:rowOff>
    </xdr:to>
    <xdr:cxnSp macro="">
      <xdr:nvCxnSpPr>
        <xdr:cNvPr id="71" name="Straight Arrow Connector 70"/>
        <xdr:cNvCxnSpPr/>
      </xdr:nvCxnSpPr>
      <xdr:spPr>
        <a:xfrm>
          <a:off x="9395460" y="1485900"/>
          <a:ext cx="3261360" cy="2819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12</xdr:row>
      <xdr:rowOff>38100</xdr:rowOff>
    </xdr:from>
    <xdr:to>
      <xdr:col>13</xdr:col>
      <xdr:colOff>30480</xdr:colOff>
      <xdr:row>14</xdr:row>
      <xdr:rowOff>0</xdr:rowOff>
    </xdr:to>
    <xdr:cxnSp macro="">
      <xdr:nvCxnSpPr>
        <xdr:cNvPr id="74" name="Straight Arrow Connector 73"/>
        <xdr:cNvCxnSpPr/>
      </xdr:nvCxnSpPr>
      <xdr:spPr>
        <a:xfrm>
          <a:off x="5105400" y="3055620"/>
          <a:ext cx="967740" cy="4648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</xdr:row>
      <xdr:rowOff>7620</xdr:rowOff>
    </xdr:from>
    <xdr:to>
      <xdr:col>17</xdr:col>
      <xdr:colOff>22860</xdr:colOff>
      <xdr:row>15</xdr:row>
      <xdr:rowOff>7620</xdr:rowOff>
    </xdr:to>
    <xdr:cxnSp macro="">
      <xdr:nvCxnSpPr>
        <xdr:cNvPr id="78" name="Straight Arrow Connector 77"/>
        <xdr:cNvCxnSpPr/>
      </xdr:nvCxnSpPr>
      <xdr:spPr>
        <a:xfrm>
          <a:off x="7056120" y="3779520"/>
          <a:ext cx="9525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434340</xdr:colOff>
      <xdr:row>13</xdr:row>
      <xdr:rowOff>137160</xdr:rowOff>
    </xdr:from>
    <xdr:to>
      <xdr:col>23</xdr:col>
      <xdr:colOff>30480</xdr:colOff>
      <xdr:row>15</xdr:row>
      <xdr:rowOff>106680</xdr:rowOff>
    </xdr:to>
    <xdr:cxnSp macro="">
      <xdr:nvCxnSpPr>
        <xdr:cNvPr id="81" name="Straight Arrow Connector 80"/>
        <xdr:cNvCxnSpPr/>
      </xdr:nvCxnSpPr>
      <xdr:spPr>
        <a:xfrm flipV="1">
          <a:off x="9349740" y="3406140"/>
          <a:ext cx="1455420" cy="4724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</xdr:row>
      <xdr:rowOff>45720</xdr:rowOff>
    </xdr:from>
    <xdr:to>
      <xdr:col>4</xdr:col>
      <xdr:colOff>30480</xdr:colOff>
      <xdr:row>2</xdr:row>
      <xdr:rowOff>45720</xdr:rowOff>
    </xdr:to>
    <xdr:cxnSp macro="">
      <xdr:nvCxnSpPr>
        <xdr:cNvPr id="3" name="Straight Arrow Connector 2"/>
        <xdr:cNvCxnSpPr/>
      </xdr:nvCxnSpPr>
      <xdr:spPr>
        <a:xfrm>
          <a:off x="1851660" y="297180"/>
          <a:ext cx="3810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419100</xdr:colOff>
      <xdr:row>2</xdr:row>
      <xdr:rowOff>22860</xdr:rowOff>
    </xdr:from>
    <xdr:to>
      <xdr:col>4</xdr:col>
      <xdr:colOff>0</xdr:colOff>
      <xdr:row>3</xdr:row>
      <xdr:rowOff>53340</xdr:rowOff>
    </xdr:to>
    <xdr:cxnSp macro="">
      <xdr:nvCxnSpPr>
        <xdr:cNvPr id="6" name="Straight Arrow Connector 5"/>
        <xdr:cNvCxnSpPr/>
      </xdr:nvCxnSpPr>
      <xdr:spPr>
        <a:xfrm>
          <a:off x="1813560" y="525780"/>
          <a:ext cx="45720" cy="281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2</xdr:row>
      <xdr:rowOff>106680</xdr:rowOff>
    </xdr:from>
    <xdr:to>
      <xdr:col>7</xdr:col>
      <xdr:colOff>205740</xdr:colOff>
      <xdr:row>4</xdr:row>
      <xdr:rowOff>22860</xdr:rowOff>
    </xdr:to>
    <xdr:cxnSp macro="">
      <xdr:nvCxnSpPr>
        <xdr:cNvPr id="9" name="Straight Arrow Connector 8"/>
        <xdr:cNvCxnSpPr/>
      </xdr:nvCxnSpPr>
      <xdr:spPr>
        <a:xfrm>
          <a:off x="3261360" y="609600"/>
          <a:ext cx="19812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365760</xdr:colOff>
      <xdr:row>3</xdr:row>
      <xdr:rowOff>0</xdr:rowOff>
    </xdr:from>
    <xdr:to>
      <xdr:col>7</xdr:col>
      <xdr:colOff>15240</xdr:colOff>
      <xdr:row>5</xdr:row>
      <xdr:rowOff>83820</xdr:rowOff>
    </xdr:to>
    <xdr:cxnSp macro="">
      <xdr:nvCxnSpPr>
        <xdr:cNvPr id="12" name="Straight Arrow Connector 11"/>
        <xdr:cNvCxnSpPr/>
      </xdr:nvCxnSpPr>
      <xdr:spPr>
        <a:xfrm>
          <a:off x="3154680" y="754380"/>
          <a:ext cx="114300" cy="586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</xdr:colOff>
      <xdr:row>3</xdr:row>
      <xdr:rowOff>205740</xdr:rowOff>
    </xdr:from>
    <xdr:to>
      <xdr:col>6</xdr:col>
      <xdr:colOff>121920</xdr:colOff>
      <xdr:row>6</xdr:row>
      <xdr:rowOff>22860</xdr:rowOff>
    </xdr:to>
    <xdr:cxnSp macro="">
      <xdr:nvCxnSpPr>
        <xdr:cNvPr id="15" name="Straight Arrow Connector 14"/>
        <xdr:cNvCxnSpPr/>
      </xdr:nvCxnSpPr>
      <xdr:spPr>
        <a:xfrm>
          <a:off x="2811780" y="960120"/>
          <a:ext cx="9906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</xdr:colOff>
      <xdr:row>5</xdr:row>
      <xdr:rowOff>152400</xdr:rowOff>
    </xdr:from>
    <xdr:to>
      <xdr:col>10</xdr:col>
      <xdr:colOff>274320</xdr:colOff>
      <xdr:row>7</xdr:row>
      <xdr:rowOff>0</xdr:rowOff>
    </xdr:to>
    <xdr:cxnSp macro="">
      <xdr:nvCxnSpPr>
        <xdr:cNvPr id="18" name="Straight Arrow Connector 17"/>
        <xdr:cNvCxnSpPr/>
      </xdr:nvCxnSpPr>
      <xdr:spPr>
        <a:xfrm>
          <a:off x="4671060" y="1409700"/>
          <a:ext cx="251460" cy="350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</xdr:colOff>
      <xdr:row>6</xdr:row>
      <xdr:rowOff>83820</xdr:rowOff>
    </xdr:from>
    <xdr:to>
      <xdr:col>10</xdr:col>
      <xdr:colOff>129540</xdr:colOff>
      <xdr:row>7</xdr:row>
      <xdr:rowOff>15240</xdr:rowOff>
    </xdr:to>
    <xdr:cxnSp macro="">
      <xdr:nvCxnSpPr>
        <xdr:cNvPr id="23" name="Straight Arrow Connector 22"/>
        <xdr:cNvCxnSpPr/>
      </xdr:nvCxnSpPr>
      <xdr:spPr>
        <a:xfrm>
          <a:off x="4671060" y="1592580"/>
          <a:ext cx="10668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7</xdr:row>
      <xdr:rowOff>0</xdr:rowOff>
    </xdr:from>
    <xdr:to>
      <xdr:col>17</xdr:col>
      <xdr:colOff>99060</xdr:colOff>
      <xdr:row>7</xdr:row>
      <xdr:rowOff>228600</xdr:rowOff>
    </xdr:to>
    <xdr:cxnSp macro="">
      <xdr:nvCxnSpPr>
        <xdr:cNvPr id="26" name="Straight Arrow Connector 25"/>
        <xdr:cNvCxnSpPr/>
      </xdr:nvCxnSpPr>
      <xdr:spPr>
        <a:xfrm>
          <a:off x="7901940" y="1760220"/>
          <a:ext cx="9906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</xdr:row>
      <xdr:rowOff>114300</xdr:rowOff>
    </xdr:from>
    <xdr:to>
      <xdr:col>17</xdr:col>
      <xdr:colOff>320040</xdr:colOff>
      <xdr:row>8</xdr:row>
      <xdr:rowOff>0</xdr:rowOff>
    </xdr:to>
    <xdr:cxnSp macro="">
      <xdr:nvCxnSpPr>
        <xdr:cNvPr id="28" name="Straight Arrow Connector 27"/>
        <xdr:cNvCxnSpPr/>
      </xdr:nvCxnSpPr>
      <xdr:spPr>
        <a:xfrm>
          <a:off x="7901940" y="1120140"/>
          <a:ext cx="320040" cy="891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29430</xdr:colOff>
      <xdr:row>13</xdr:row>
      <xdr:rowOff>42248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25430" cy="2419688"/>
        </a:xfrm>
        <a:prstGeom prst="rect">
          <a:avLst/>
        </a:prstGeom>
      </xdr:spPr>
    </xdr:pic>
    <xdr:clientData/>
  </xdr:twoCellAnchor>
  <xdr:twoCellAnchor>
    <xdr:from>
      <xdr:col>10</xdr:col>
      <xdr:colOff>441960</xdr:colOff>
      <xdr:row>0</xdr:row>
      <xdr:rowOff>160020</xdr:rowOff>
    </xdr:from>
    <xdr:to>
      <xdr:col>11</xdr:col>
      <xdr:colOff>388620</xdr:colOff>
      <xdr:row>3</xdr:row>
      <xdr:rowOff>114300</xdr:rowOff>
    </xdr:to>
    <xdr:sp macro="" textlink="">
      <xdr:nvSpPr>
        <xdr:cNvPr id="3" name="Oval 2"/>
        <xdr:cNvSpPr/>
      </xdr:nvSpPr>
      <xdr:spPr>
        <a:xfrm>
          <a:off x="6537960" y="160020"/>
          <a:ext cx="556260" cy="5029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358140</xdr:colOff>
      <xdr:row>19</xdr:row>
      <xdr:rowOff>160020</xdr:rowOff>
    </xdr:from>
    <xdr:to>
      <xdr:col>4</xdr:col>
      <xdr:colOff>228600</xdr:colOff>
      <xdr:row>21</xdr:row>
      <xdr:rowOff>45720</xdr:rowOff>
    </xdr:to>
    <xdr:sp macro="" textlink="">
      <xdr:nvSpPr>
        <xdr:cNvPr id="7" name="Rectangle 6"/>
        <xdr:cNvSpPr/>
      </xdr:nvSpPr>
      <xdr:spPr>
        <a:xfrm>
          <a:off x="2186940" y="363474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A=2</a:t>
          </a:r>
        </a:p>
      </xdr:txBody>
    </xdr:sp>
    <xdr:clientData/>
  </xdr:twoCellAnchor>
  <xdr:twoCellAnchor>
    <xdr:from>
      <xdr:col>2</xdr:col>
      <xdr:colOff>281940</xdr:colOff>
      <xdr:row>20</xdr:row>
      <xdr:rowOff>7620</xdr:rowOff>
    </xdr:from>
    <xdr:to>
      <xdr:col>3</xdr:col>
      <xdr:colOff>228600</xdr:colOff>
      <xdr:row>22</xdr:row>
      <xdr:rowOff>144780</xdr:rowOff>
    </xdr:to>
    <xdr:sp macro="" textlink="">
      <xdr:nvSpPr>
        <xdr:cNvPr id="8" name="Oval 7"/>
        <xdr:cNvSpPr/>
      </xdr:nvSpPr>
      <xdr:spPr>
        <a:xfrm>
          <a:off x="1501140" y="3665220"/>
          <a:ext cx="556260" cy="5029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4</xdr:col>
      <xdr:colOff>358140</xdr:colOff>
      <xdr:row>20</xdr:row>
      <xdr:rowOff>7620</xdr:rowOff>
    </xdr:from>
    <xdr:to>
      <xdr:col>5</xdr:col>
      <xdr:colOff>304800</xdr:colOff>
      <xdr:row>22</xdr:row>
      <xdr:rowOff>144780</xdr:rowOff>
    </xdr:to>
    <xdr:sp macro="" textlink="">
      <xdr:nvSpPr>
        <xdr:cNvPr id="9" name="Oval 8"/>
        <xdr:cNvSpPr/>
      </xdr:nvSpPr>
      <xdr:spPr>
        <a:xfrm>
          <a:off x="2796540" y="3665220"/>
          <a:ext cx="556260" cy="5029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3</xdr:col>
      <xdr:colOff>228600</xdr:colOff>
      <xdr:row>21</xdr:row>
      <xdr:rowOff>76200</xdr:rowOff>
    </xdr:from>
    <xdr:to>
      <xdr:col>4</xdr:col>
      <xdr:colOff>358140</xdr:colOff>
      <xdr:row>21</xdr:row>
      <xdr:rowOff>76200</xdr:rowOff>
    </xdr:to>
    <xdr:cxnSp macro="">
      <xdr:nvCxnSpPr>
        <xdr:cNvPr id="10" name="Straight Arrow Connector 9"/>
        <xdr:cNvCxnSpPr>
          <a:stCxn id="8" idx="6"/>
          <a:endCxn id="9" idx="2"/>
        </xdr:cNvCxnSpPr>
      </xdr:nvCxnSpPr>
      <xdr:spPr>
        <a:xfrm>
          <a:off x="2057400" y="3916680"/>
          <a:ext cx="73914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495300</xdr:colOff>
      <xdr:row>7</xdr:row>
      <xdr:rowOff>121920</xdr:rowOff>
    </xdr:from>
    <xdr:to>
      <xdr:col>11</xdr:col>
      <xdr:colOff>365760</xdr:colOff>
      <xdr:row>9</xdr:row>
      <xdr:rowOff>7620</xdr:rowOff>
    </xdr:to>
    <xdr:sp macro="" textlink="">
      <xdr:nvSpPr>
        <xdr:cNvPr id="16" name="Rectangle 15"/>
        <xdr:cNvSpPr/>
      </xdr:nvSpPr>
      <xdr:spPr>
        <a:xfrm>
          <a:off x="6591300" y="140208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297180</xdr:colOff>
      <xdr:row>15</xdr:row>
      <xdr:rowOff>7620</xdr:rowOff>
    </xdr:from>
    <xdr:to>
      <xdr:col>8</xdr:col>
      <xdr:colOff>243840</xdr:colOff>
      <xdr:row>17</xdr:row>
      <xdr:rowOff>144780</xdr:rowOff>
    </xdr:to>
    <xdr:sp macro="" textlink="">
      <xdr:nvSpPr>
        <xdr:cNvPr id="17" name="Oval 16"/>
        <xdr:cNvSpPr/>
      </xdr:nvSpPr>
      <xdr:spPr>
        <a:xfrm>
          <a:off x="4564380" y="2750820"/>
          <a:ext cx="556260" cy="5029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3</a:t>
          </a:r>
        </a:p>
      </xdr:txBody>
    </xdr:sp>
    <xdr:clientData/>
  </xdr:twoCellAnchor>
  <xdr:twoCellAnchor>
    <xdr:from>
      <xdr:col>5</xdr:col>
      <xdr:colOff>304800</xdr:colOff>
      <xdr:row>16</xdr:row>
      <xdr:rowOff>76200</xdr:rowOff>
    </xdr:from>
    <xdr:to>
      <xdr:col>7</xdr:col>
      <xdr:colOff>297180</xdr:colOff>
      <xdr:row>21</xdr:row>
      <xdr:rowOff>76200</xdr:rowOff>
    </xdr:to>
    <xdr:cxnSp macro="">
      <xdr:nvCxnSpPr>
        <xdr:cNvPr id="18" name="Straight Arrow Connector 17"/>
        <xdr:cNvCxnSpPr>
          <a:stCxn id="9" idx="6"/>
          <a:endCxn id="17" idx="2"/>
        </xdr:cNvCxnSpPr>
      </xdr:nvCxnSpPr>
      <xdr:spPr>
        <a:xfrm flipV="1">
          <a:off x="3352800" y="3002280"/>
          <a:ext cx="1211580" cy="914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</xdr:colOff>
      <xdr:row>17</xdr:row>
      <xdr:rowOff>175260</xdr:rowOff>
    </xdr:from>
    <xdr:to>
      <xdr:col>6</xdr:col>
      <xdr:colOff>548640</xdr:colOff>
      <xdr:row>19</xdr:row>
      <xdr:rowOff>60960</xdr:rowOff>
    </xdr:to>
    <xdr:sp macro="" textlink="">
      <xdr:nvSpPr>
        <xdr:cNvPr id="22" name="Rectangle 21"/>
        <xdr:cNvSpPr/>
      </xdr:nvSpPr>
      <xdr:spPr>
        <a:xfrm>
          <a:off x="3726180" y="328422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B=3</a:t>
          </a:r>
        </a:p>
      </xdr:txBody>
    </xdr:sp>
    <xdr:clientData/>
  </xdr:twoCellAnchor>
  <xdr:twoCellAnchor>
    <xdr:from>
      <xdr:col>7</xdr:col>
      <xdr:colOff>556260</xdr:colOff>
      <xdr:row>19</xdr:row>
      <xdr:rowOff>76200</xdr:rowOff>
    </xdr:from>
    <xdr:to>
      <xdr:col>8</xdr:col>
      <xdr:colOff>502920</xdr:colOff>
      <xdr:row>22</xdr:row>
      <xdr:rowOff>30480</xdr:rowOff>
    </xdr:to>
    <xdr:sp macro="" textlink="">
      <xdr:nvSpPr>
        <xdr:cNvPr id="24" name="Oval 23"/>
        <xdr:cNvSpPr/>
      </xdr:nvSpPr>
      <xdr:spPr>
        <a:xfrm>
          <a:off x="4823460" y="3550920"/>
          <a:ext cx="556260" cy="5029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7</xdr:col>
      <xdr:colOff>7620</xdr:colOff>
      <xdr:row>26</xdr:row>
      <xdr:rowOff>160020</xdr:rowOff>
    </xdr:from>
    <xdr:to>
      <xdr:col>7</xdr:col>
      <xdr:colOff>563880</xdr:colOff>
      <xdr:row>29</xdr:row>
      <xdr:rowOff>114300</xdr:rowOff>
    </xdr:to>
    <xdr:sp macro="" textlink="">
      <xdr:nvSpPr>
        <xdr:cNvPr id="26" name="Oval 25"/>
        <xdr:cNvSpPr/>
      </xdr:nvSpPr>
      <xdr:spPr>
        <a:xfrm>
          <a:off x="4274820" y="4914900"/>
          <a:ext cx="556260" cy="5029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5</a:t>
          </a:r>
        </a:p>
      </xdr:txBody>
    </xdr:sp>
    <xdr:clientData/>
  </xdr:twoCellAnchor>
  <xdr:twoCellAnchor>
    <xdr:from>
      <xdr:col>5</xdr:col>
      <xdr:colOff>304800</xdr:colOff>
      <xdr:row>20</xdr:row>
      <xdr:rowOff>144780</xdr:rowOff>
    </xdr:from>
    <xdr:to>
      <xdr:col>7</xdr:col>
      <xdr:colOff>556260</xdr:colOff>
      <xdr:row>21</xdr:row>
      <xdr:rowOff>76200</xdr:rowOff>
    </xdr:to>
    <xdr:cxnSp macro="">
      <xdr:nvCxnSpPr>
        <xdr:cNvPr id="28" name="Straight Arrow Connector 27"/>
        <xdr:cNvCxnSpPr>
          <a:stCxn id="9" idx="6"/>
          <a:endCxn id="24" idx="2"/>
        </xdr:cNvCxnSpPr>
      </xdr:nvCxnSpPr>
      <xdr:spPr>
        <a:xfrm flipV="1">
          <a:off x="3352800" y="3802380"/>
          <a:ext cx="1470660" cy="114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304800</xdr:colOff>
      <xdr:row>21</xdr:row>
      <xdr:rowOff>76200</xdr:rowOff>
    </xdr:from>
    <xdr:to>
      <xdr:col>12</xdr:col>
      <xdr:colOff>310062</xdr:colOff>
      <xdr:row>23</xdr:row>
      <xdr:rowOff>55889</xdr:rowOff>
    </xdr:to>
    <xdr:cxnSp macro="">
      <xdr:nvCxnSpPr>
        <xdr:cNvPr id="31" name="Straight Arrow Connector 30"/>
        <xdr:cNvCxnSpPr>
          <a:stCxn id="9" idx="6"/>
          <a:endCxn id="57" idx="3"/>
        </xdr:cNvCxnSpPr>
      </xdr:nvCxnSpPr>
      <xdr:spPr>
        <a:xfrm>
          <a:off x="3352800" y="3916680"/>
          <a:ext cx="4272462" cy="34544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304800</xdr:colOff>
      <xdr:row>21</xdr:row>
      <xdr:rowOff>76200</xdr:rowOff>
    </xdr:from>
    <xdr:to>
      <xdr:col>7</xdr:col>
      <xdr:colOff>89082</xdr:colOff>
      <xdr:row>27</xdr:row>
      <xdr:rowOff>50791</xdr:rowOff>
    </xdr:to>
    <xdr:cxnSp macro="">
      <xdr:nvCxnSpPr>
        <xdr:cNvPr id="34" name="Straight Arrow Connector 33"/>
        <xdr:cNvCxnSpPr>
          <a:stCxn id="9" idx="6"/>
          <a:endCxn id="26" idx="1"/>
        </xdr:cNvCxnSpPr>
      </xdr:nvCxnSpPr>
      <xdr:spPr>
        <a:xfrm>
          <a:off x="3352800" y="3916680"/>
          <a:ext cx="1003482" cy="107187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20</xdr:row>
      <xdr:rowOff>30480</xdr:rowOff>
    </xdr:from>
    <xdr:to>
      <xdr:col>7</xdr:col>
      <xdr:colOff>281940</xdr:colOff>
      <xdr:row>21</xdr:row>
      <xdr:rowOff>99060</xdr:rowOff>
    </xdr:to>
    <xdr:sp macro="" textlink="">
      <xdr:nvSpPr>
        <xdr:cNvPr id="40" name="Rectangle 39"/>
        <xdr:cNvSpPr/>
      </xdr:nvSpPr>
      <xdr:spPr>
        <a:xfrm>
          <a:off x="4069080" y="368808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D=3</a:t>
          </a:r>
        </a:p>
      </xdr:txBody>
    </xdr:sp>
    <xdr:clientData/>
  </xdr:twoCellAnchor>
  <xdr:twoCellAnchor>
    <xdr:from>
      <xdr:col>9</xdr:col>
      <xdr:colOff>129540</xdr:colOff>
      <xdr:row>22</xdr:row>
      <xdr:rowOff>99060</xdr:rowOff>
    </xdr:from>
    <xdr:to>
      <xdr:col>10</xdr:col>
      <xdr:colOff>0</xdr:colOff>
      <xdr:row>23</xdr:row>
      <xdr:rowOff>167640</xdr:rowOff>
    </xdr:to>
    <xdr:sp macro="" textlink="">
      <xdr:nvSpPr>
        <xdr:cNvPr id="41" name="Rectangle 40"/>
        <xdr:cNvSpPr/>
      </xdr:nvSpPr>
      <xdr:spPr>
        <a:xfrm>
          <a:off x="5615940" y="412242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E=12</a:t>
          </a:r>
        </a:p>
      </xdr:txBody>
    </xdr:sp>
    <xdr:clientData/>
  </xdr:twoCellAnchor>
  <xdr:twoCellAnchor>
    <xdr:from>
      <xdr:col>5</xdr:col>
      <xdr:colOff>541020</xdr:colOff>
      <xdr:row>23</xdr:row>
      <xdr:rowOff>167640</xdr:rowOff>
    </xdr:from>
    <xdr:to>
      <xdr:col>6</xdr:col>
      <xdr:colOff>411480</xdr:colOff>
      <xdr:row>25</xdr:row>
      <xdr:rowOff>53340</xdr:rowOff>
    </xdr:to>
    <xdr:sp macro="" textlink="">
      <xdr:nvSpPr>
        <xdr:cNvPr id="42" name="Rectangle 41"/>
        <xdr:cNvSpPr/>
      </xdr:nvSpPr>
      <xdr:spPr>
        <a:xfrm>
          <a:off x="3589020" y="437388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J=7</a:t>
          </a:r>
        </a:p>
      </xdr:txBody>
    </xdr:sp>
    <xdr:clientData/>
  </xdr:twoCellAnchor>
  <xdr:twoCellAnchor>
    <xdr:from>
      <xdr:col>8</xdr:col>
      <xdr:colOff>243840</xdr:colOff>
      <xdr:row>16</xdr:row>
      <xdr:rowOff>76200</xdr:rowOff>
    </xdr:from>
    <xdr:to>
      <xdr:col>12</xdr:col>
      <xdr:colOff>506730</xdr:colOff>
      <xdr:row>20</xdr:row>
      <xdr:rowOff>175260</xdr:rowOff>
    </xdr:to>
    <xdr:cxnSp macro="">
      <xdr:nvCxnSpPr>
        <xdr:cNvPr id="45" name="Straight Arrow Connector 44"/>
        <xdr:cNvCxnSpPr>
          <a:stCxn id="17" idx="6"/>
          <a:endCxn id="57" idx="0"/>
        </xdr:cNvCxnSpPr>
      </xdr:nvCxnSpPr>
      <xdr:spPr>
        <a:xfrm>
          <a:off x="5120640" y="3002280"/>
          <a:ext cx="2701290" cy="8305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518160</xdr:colOff>
      <xdr:row>17</xdr:row>
      <xdr:rowOff>60960</xdr:rowOff>
    </xdr:from>
    <xdr:to>
      <xdr:col>10</xdr:col>
      <xdr:colOff>388620</xdr:colOff>
      <xdr:row>18</xdr:row>
      <xdr:rowOff>129540</xdr:rowOff>
    </xdr:to>
    <xdr:sp macro="" textlink="">
      <xdr:nvSpPr>
        <xdr:cNvPr id="49" name="Rectangle 48"/>
        <xdr:cNvSpPr/>
      </xdr:nvSpPr>
      <xdr:spPr>
        <a:xfrm>
          <a:off x="6004560" y="316992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C=3</a:t>
          </a:r>
        </a:p>
      </xdr:txBody>
    </xdr:sp>
    <xdr:clientData/>
  </xdr:twoCellAnchor>
  <xdr:twoCellAnchor>
    <xdr:from>
      <xdr:col>10</xdr:col>
      <xdr:colOff>30480</xdr:colOff>
      <xdr:row>19</xdr:row>
      <xdr:rowOff>121920</xdr:rowOff>
    </xdr:from>
    <xdr:to>
      <xdr:col>10</xdr:col>
      <xdr:colOff>586740</xdr:colOff>
      <xdr:row>22</xdr:row>
      <xdr:rowOff>76200</xdr:rowOff>
    </xdr:to>
    <xdr:sp macro="" textlink="">
      <xdr:nvSpPr>
        <xdr:cNvPr id="51" name="Oval 50"/>
        <xdr:cNvSpPr/>
      </xdr:nvSpPr>
      <xdr:spPr>
        <a:xfrm>
          <a:off x="6126480" y="3596640"/>
          <a:ext cx="556260" cy="5029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6</a:t>
          </a:r>
        </a:p>
      </xdr:txBody>
    </xdr:sp>
    <xdr:clientData/>
  </xdr:twoCellAnchor>
  <xdr:twoCellAnchor>
    <xdr:from>
      <xdr:col>8</xdr:col>
      <xdr:colOff>502920</xdr:colOff>
      <xdr:row>20</xdr:row>
      <xdr:rowOff>144780</xdr:rowOff>
    </xdr:from>
    <xdr:to>
      <xdr:col>10</xdr:col>
      <xdr:colOff>30480</xdr:colOff>
      <xdr:row>21</xdr:row>
      <xdr:rowOff>7620</xdr:rowOff>
    </xdr:to>
    <xdr:cxnSp macro="">
      <xdr:nvCxnSpPr>
        <xdr:cNvPr id="52" name="Straight Arrow Connector 51"/>
        <xdr:cNvCxnSpPr>
          <a:stCxn id="24" idx="6"/>
          <a:endCxn id="51" idx="2"/>
        </xdr:cNvCxnSpPr>
      </xdr:nvCxnSpPr>
      <xdr:spPr>
        <a:xfrm>
          <a:off x="5379720" y="3802380"/>
          <a:ext cx="746760" cy="457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594360</xdr:colOff>
      <xdr:row>19</xdr:row>
      <xdr:rowOff>99060</xdr:rowOff>
    </xdr:from>
    <xdr:to>
      <xdr:col>9</xdr:col>
      <xdr:colOff>464820</xdr:colOff>
      <xdr:row>20</xdr:row>
      <xdr:rowOff>167640</xdr:rowOff>
    </xdr:to>
    <xdr:sp macro="" textlink="">
      <xdr:nvSpPr>
        <xdr:cNvPr id="56" name="Rectangle 55"/>
        <xdr:cNvSpPr/>
      </xdr:nvSpPr>
      <xdr:spPr>
        <a:xfrm>
          <a:off x="5471160" y="357378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F=2</a:t>
          </a:r>
        </a:p>
      </xdr:txBody>
    </xdr:sp>
    <xdr:clientData/>
  </xdr:twoCellAnchor>
  <xdr:twoCellAnchor>
    <xdr:from>
      <xdr:col>12</xdr:col>
      <xdr:colOff>228600</xdr:colOff>
      <xdr:row>20</xdr:row>
      <xdr:rowOff>175260</xdr:rowOff>
    </xdr:from>
    <xdr:to>
      <xdr:col>13</xdr:col>
      <xdr:colOff>175260</xdr:colOff>
      <xdr:row>23</xdr:row>
      <xdr:rowOff>129540</xdr:rowOff>
    </xdr:to>
    <xdr:sp macro="" textlink="">
      <xdr:nvSpPr>
        <xdr:cNvPr id="57" name="Oval 56"/>
        <xdr:cNvSpPr/>
      </xdr:nvSpPr>
      <xdr:spPr>
        <a:xfrm>
          <a:off x="7543800" y="3832860"/>
          <a:ext cx="556260" cy="5029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7</a:t>
          </a:r>
        </a:p>
      </xdr:txBody>
    </xdr:sp>
    <xdr:clientData/>
  </xdr:twoCellAnchor>
  <xdr:twoCellAnchor>
    <xdr:from>
      <xdr:col>10</xdr:col>
      <xdr:colOff>586740</xdr:colOff>
      <xdr:row>21</xdr:row>
      <xdr:rowOff>7620</xdr:rowOff>
    </xdr:from>
    <xdr:to>
      <xdr:col>12</xdr:col>
      <xdr:colOff>228600</xdr:colOff>
      <xdr:row>22</xdr:row>
      <xdr:rowOff>60960</xdr:rowOff>
    </xdr:to>
    <xdr:cxnSp macro="">
      <xdr:nvCxnSpPr>
        <xdr:cNvPr id="58" name="Straight Arrow Connector 57"/>
        <xdr:cNvCxnSpPr>
          <a:stCxn id="51" idx="6"/>
          <a:endCxn id="57" idx="2"/>
        </xdr:cNvCxnSpPr>
      </xdr:nvCxnSpPr>
      <xdr:spPr>
        <a:xfrm>
          <a:off x="6682740" y="3848100"/>
          <a:ext cx="861060" cy="2362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20</xdr:row>
      <xdr:rowOff>91440</xdr:rowOff>
    </xdr:from>
    <xdr:to>
      <xdr:col>12</xdr:col>
      <xdr:colOff>22860</xdr:colOff>
      <xdr:row>21</xdr:row>
      <xdr:rowOff>160020</xdr:rowOff>
    </xdr:to>
    <xdr:sp macro="" textlink="">
      <xdr:nvSpPr>
        <xdr:cNvPr id="61" name="Rectangle 60"/>
        <xdr:cNvSpPr/>
      </xdr:nvSpPr>
      <xdr:spPr>
        <a:xfrm>
          <a:off x="6858000" y="374904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G=5</a:t>
          </a:r>
        </a:p>
      </xdr:txBody>
    </xdr:sp>
    <xdr:clientData/>
  </xdr:twoCellAnchor>
  <xdr:twoCellAnchor>
    <xdr:from>
      <xdr:col>13</xdr:col>
      <xdr:colOff>175260</xdr:colOff>
      <xdr:row>22</xdr:row>
      <xdr:rowOff>60960</xdr:rowOff>
    </xdr:from>
    <xdr:to>
      <xdr:col>14</xdr:col>
      <xdr:colOff>548640</xdr:colOff>
      <xdr:row>22</xdr:row>
      <xdr:rowOff>60960</xdr:rowOff>
    </xdr:to>
    <xdr:cxnSp macro="">
      <xdr:nvCxnSpPr>
        <xdr:cNvPr id="70" name="Straight Arrow Connector 69"/>
        <xdr:cNvCxnSpPr>
          <a:stCxn id="57" idx="6"/>
          <a:endCxn id="125" idx="2"/>
        </xdr:cNvCxnSpPr>
      </xdr:nvCxnSpPr>
      <xdr:spPr>
        <a:xfrm>
          <a:off x="8100060" y="4084320"/>
          <a:ext cx="9829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411480</xdr:colOff>
      <xdr:row>20</xdr:row>
      <xdr:rowOff>152400</xdr:rowOff>
    </xdr:from>
    <xdr:to>
      <xdr:col>14</xdr:col>
      <xdr:colOff>281940</xdr:colOff>
      <xdr:row>22</xdr:row>
      <xdr:rowOff>38100</xdr:rowOff>
    </xdr:to>
    <xdr:sp macro="" textlink="">
      <xdr:nvSpPr>
        <xdr:cNvPr id="75" name="Rectangle 74"/>
        <xdr:cNvSpPr/>
      </xdr:nvSpPr>
      <xdr:spPr>
        <a:xfrm>
          <a:off x="8336280" y="381000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H=4</a:t>
          </a:r>
        </a:p>
      </xdr:txBody>
    </xdr:sp>
    <xdr:clientData/>
  </xdr:twoCellAnchor>
  <xdr:twoCellAnchor>
    <xdr:from>
      <xdr:col>10</xdr:col>
      <xdr:colOff>487680</xdr:colOff>
      <xdr:row>4</xdr:row>
      <xdr:rowOff>144780</xdr:rowOff>
    </xdr:from>
    <xdr:to>
      <xdr:col>11</xdr:col>
      <xdr:colOff>464820</xdr:colOff>
      <xdr:row>6</xdr:row>
      <xdr:rowOff>60960</xdr:rowOff>
    </xdr:to>
    <xdr:cxnSp macro="">
      <xdr:nvCxnSpPr>
        <xdr:cNvPr id="79" name="Straight Arrow Connector 78"/>
        <xdr:cNvCxnSpPr/>
      </xdr:nvCxnSpPr>
      <xdr:spPr>
        <a:xfrm>
          <a:off x="6583680" y="876300"/>
          <a:ext cx="586740" cy="2819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563880</xdr:colOff>
      <xdr:row>28</xdr:row>
      <xdr:rowOff>45720</xdr:rowOff>
    </xdr:from>
    <xdr:to>
      <xdr:col>11</xdr:col>
      <xdr:colOff>0</xdr:colOff>
      <xdr:row>28</xdr:row>
      <xdr:rowOff>106680</xdr:rowOff>
    </xdr:to>
    <xdr:cxnSp macro="">
      <xdr:nvCxnSpPr>
        <xdr:cNvPr id="80" name="Straight Arrow Connector 79"/>
        <xdr:cNvCxnSpPr>
          <a:stCxn id="26" idx="6"/>
          <a:endCxn id="46" idx="2"/>
        </xdr:cNvCxnSpPr>
      </xdr:nvCxnSpPr>
      <xdr:spPr>
        <a:xfrm>
          <a:off x="4831080" y="5166360"/>
          <a:ext cx="1874520" cy="609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106680</xdr:colOff>
      <xdr:row>27</xdr:row>
      <xdr:rowOff>137160</xdr:rowOff>
    </xdr:from>
    <xdr:to>
      <xdr:col>9</xdr:col>
      <xdr:colOff>586740</xdr:colOff>
      <xdr:row>29</xdr:row>
      <xdr:rowOff>22860</xdr:rowOff>
    </xdr:to>
    <xdr:sp macro="" textlink="">
      <xdr:nvSpPr>
        <xdr:cNvPr id="86" name="Rectangle 85"/>
        <xdr:cNvSpPr/>
      </xdr:nvSpPr>
      <xdr:spPr>
        <a:xfrm>
          <a:off x="5593080" y="507492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K=9</a:t>
          </a:r>
        </a:p>
      </xdr:txBody>
    </xdr:sp>
    <xdr:clientData/>
  </xdr:twoCellAnchor>
  <xdr:twoCellAnchor>
    <xdr:from>
      <xdr:col>15</xdr:col>
      <xdr:colOff>510540</xdr:colOff>
      <xdr:row>26</xdr:row>
      <xdr:rowOff>137160</xdr:rowOff>
    </xdr:from>
    <xdr:to>
      <xdr:col>16</xdr:col>
      <xdr:colOff>457200</xdr:colOff>
      <xdr:row>29</xdr:row>
      <xdr:rowOff>91440</xdr:rowOff>
    </xdr:to>
    <xdr:sp macro="" textlink="">
      <xdr:nvSpPr>
        <xdr:cNvPr id="94" name="Oval 93"/>
        <xdr:cNvSpPr/>
      </xdr:nvSpPr>
      <xdr:spPr>
        <a:xfrm>
          <a:off x="9654540" y="4892040"/>
          <a:ext cx="556260" cy="5029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9</a:t>
          </a:r>
        </a:p>
      </xdr:txBody>
    </xdr:sp>
    <xdr:clientData/>
  </xdr:twoCellAnchor>
  <xdr:twoCellAnchor>
    <xdr:from>
      <xdr:col>11</xdr:col>
      <xdr:colOff>556260</xdr:colOff>
      <xdr:row>28</xdr:row>
      <xdr:rowOff>22860</xdr:rowOff>
    </xdr:from>
    <xdr:to>
      <xdr:col>15</xdr:col>
      <xdr:colOff>510540</xdr:colOff>
      <xdr:row>28</xdr:row>
      <xdr:rowOff>106680</xdr:rowOff>
    </xdr:to>
    <xdr:cxnSp macro="">
      <xdr:nvCxnSpPr>
        <xdr:cNvPr id="95" name="Straight Arrow Connector 94"/>
        <xdr:cNvCxnSpPr>
          <a:stCxn id="46" idx="6"/>
          <a:endCxn id="94" idx="2"/>
        </xdr:cNvCxnSpPr>
      </xdr:nvCxnSpPr>
      <xdr:spPr>
        <a:xfrm flipV="1">
          <a:off x="7261860" y="5143500"/>
          <a:ext cx="2392680" cy="838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213360</xdr:colOff>
      <xdr:row>27</xdr:row>
      <xdr:rowOff>167640</xdr:rowOff>
    </xdr:from>
    <xdr:to>
      <xdr:col>14</xdr:col>
      <xdr:colOff>83820</xdr:colOff>
      <xdr:row>29</xdr:row>
      <xdr:rowOff>53340</xdr:rowOff>
    </xdr:to>
    <xdr:sp macro="" textlink="">
      <xdr:nvSpPr>
        <xdr:cNvPr id="99" name="Rectangle 98"/>
        <xdr:cNvSpPr/>
      </xdr:nvSpPr>
      <xdr:spPr>
        <a:xfrm>
          <a:off x="8138160" y="510540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M=3</a:t>
          </a:r>
        </a:p>
      </xdr:txBody>
    </xdr:sp>
    <xdr:clientData/>
  </xdr:twoCellAnchor>
  <xdr:twoCellAnchor>
    <xdr:from>
      <xdr:col>16</xdr:col>
      <xdr:colOff>457200</xdr:colOff>
      <xdr:row>23</xdr:row>
      <xdr:rowOff>55889</xdr:rowOff>
    </xdr:from>
    <xdr:to>
      <xdr:col>17</xdr:col>
      <xdr:colOff>424362</xdr:colOff>
      <xdr:row>28</xdr:row>
      <xdr:rowOff>22860</xdr:rowOff>
    </xdr:to>
    <xdr:cxnSp macro="">
      <xdr:nvCxnSpPr>
        <xdr:cNvPr id="102" name="Straight Arrow Connector 101"/>
        <xdr:cNvCxnSpPr>
          <a:stCxn id="94" idx="6"/>
          <a:endCxn id="121" idx="3"/>
        </xdr:cNvCxnSpPr>
      </xdr:nvCxnSpPr>
      <xdr:spPr>
        <a:xfrm flipV="1">
          <a:off x="10210800" y="4262129"/>
          <a:ext cx="576762" cy="88137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464820</xdr:colOff>
      <xdr:row>24</xdr:row>
      <xdr:rowOff>167640</xdr:rowOff>
    </xdr:from>
    <xdr:to>
      <xdr:col>17</xdr:col>
      <xdr:colOff>335280</xdr:colOff>
      <xdr:row>26</xdr:row>
      <xdr:rowOff>53340</xdr:rowOff>
    </xdr:to>
    <xdr:sp macro="" textlink="">
      <xdr:nvSpPr>
        <xdr:cNvPr id="106" name="Rectangle 105"/>
        <xdr:cNvSpPr/>
      </xdr:nvSpPr>
      <xdr:spPr>
        <a:xfrm>
          <a:off x="10218420" y="455676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N=5</a:t>
          </a:r>
        </a:p>
      </xdr:txBody>
    </xdr:sp>
    <xdr:clientData/>
  </xdr:twoCellAnchor>
  <xdr:twoCellAnchor>
    <xdr:from>
      <xdr:col>15</xdr:col>
      <xdr:colOff>495300</xdr:colOff>
      <xdr:row>22</xdr:row>
      <xdr:rowOff>60960</xdr:rowOff>
    </xdr:from>
    <xdr:to>
      <xdr:col>17</xdr:col>
      <xdr:colOff>342900</xdr:colOff>
      <xdr:row>22</xdr:row>
      <xdr:rowOff>60960</xdr:rowOff>
    </xdr:to>
    <xdr:cxnSp macro="">
      <xdr:nvCxnSpPr>
        <xdr:cNvPr id="118" name="Straight Arrow Connector 117"/>
        <xdr:cNvCxnSpPr>
          <a:stCxn id="125" idx="6"/>
          <a:endCxn id="121" idx="2"/>
        </xdr:cNvCxnSpPr>
      </xdr:nvCxnSpPr>
      <xdr:spPr>
        <a:xfrm>
          <a:off x="9639300" y="4084320"/>
          <a:ext cx="10668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342900</xdr:colOff>
      <xdr:row>20</xdr:row>
      <xdr:rowOff>175260</xdr:rowOff>
    </xdr:from>
    <xdr:to>
      <xdr:col>18</xdr:col>
      <xdr:colOff>289560</xdr:colOff>
      <xdr:row>23</xdr:row>
      <xdr:rowOff>129540</xdr:rowOff>
    </xdr:to>
    <xdr:sp macro="" textlink="">
      <xdr:nvSpPr>
        <xdr:cNvPr id="121" name="Oval 120"/>
        <xdr:cNvSpPr/>
      </xdr:nvSpPr>
      <xdr:spPr>
        <a:xfrm>
          <a:off x="10706100" y="3832860"/>
          <a:ext cx="556260" cy="5029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11</a:t>
          </a:r>
        </a:p>
      </xdr:txBody>
    </xdr:sp>
    <xdr:clientData/>
  </xdr:twoCellAnchor>
  <xdr:twoCellAnchor>
    <xdr:from>
      <xdr:col>16</xdr:col>
      <xdr:colOff>182880</xdr:colOff>
      <xdr:row>20</xdr:row>
      <xdr:rowOff>144780</xdr:rowOff>
    </xdr:from>
    <xdr:to>
      <xdr:col>17</xdr:col>
      <xdr:colOff>53340</xdr:colOff>
      <xdr:row>22</xdr:row>
      <xdr:rowOff>30480</xdr:rowOff>
    </xdr:to>
    <xdr:sp macro="" textlink="">
      <xdr:nvSpPr>
        <xdr:cNvPr id="124" name="Rectangle 123"/>
        <xdr:cNvSpPr/>
      </xdr:nvSpPr>
      <xdr:spPr>
        <a:xfrm>
          <a:off x="9936480" y="3802380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I=10</a:t>
          </a:r>
        </a:p>
      </xdr:txBody>
    </xdr:sp>
    <xdr:clientData/>
  </xdr:twoCellAnchor>
  <xdr:twoCellAnchor>
    <xdr:from>
      <xdr:col>14</xdr:col>
      <xdr:colOff>548640</xdr:colOff>
      <xdr:row>20</xdr:row>
      <xdr:rowOff>175260</xdr:rowOff>
    </xdr:from>
    <xdr:to>
      <xdr:col>15</xdr:col>
      <xdr:colOff>495300</xdr:colOff>
      <xdr:row>23</xdr:row>
      <xdr:rowOff>129540</xdr:rowOff>
    </xdr:to>
    <xdr:sp macro="" textlink="">
      <xdr:nvSpPr>
        <xdr:cNvPr id="125" name="Oval 124"/>
        <xdr:cNvSpPr/>
      </xdr:nvSpPr>
      <xdr:spPr>
        <a:xfrm>
          <a:off x="9083040" y="3832860"/>
          <a:ext cx="556260" cy="5029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10</a:t>
          </a:r>
        </a:p>
      </xdr:txBody>
    </xdr:sp>
    <xdr:clientData/>
  </xdr:twoCellAnchor>
  <xdr:twoCellAnchor>
    <xdr:from>
      <xdr:col>11</xdr:col>
      <xdr:colOff>0</xdr:colOff>
      <xdr:row>27</xdr:row>
      <xdr:rowOff>38100</xdr:rowOff>
    </xdr:from>
    <xdr:to>
      <xdr:col>11</xdr:col>
      <xdr:colOff>556260</xdr:colOff>
      <xdr:row>29</xdr:row>
      <xdr:rowOff>175260</xdr:rowOff>
    </xdr:to>
    <xdr:sp macro="" textlink="">
      <xdr:nvSpPr>
        <xdr:cNvPr id="46" name="Oval 45"/>
        <xdr:cNvSpPr/>
      </xdr:nvSpPr>
      <xdr:spPr>
        <a:xfrm>
          <a:off x="6705600" y="4975860"/>
          <a:ext cx="556260" cy="50292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8</a:t>
          </a:r>
        </a:p>
      </xdr:txBody>
    </xdr:sp>
    <xdr:clientData/>
  </xdr:twoCellAnchor>
  <xdr:twoCellAnchor>
    <xdr:from>
      <xdr:col>7</xdr:col>
      <xdr:colOff>482418</xdr:colOff>
      <xdr:row>23</xdr:row>
      <xdr:rowOff>55889</xdr:rowOff>
    </xdr:from>
    <xdr:to>
      <xdr:col>15</xdr:col>
      <xdr:colOff>20502</xdr:colOff>
      <xdr:row>27</xdr:row>
      <xdr:rowOff>50791</xdr:rowOff>
    </xdr:to>
    <xdr:cxnSp macro="">
      <xdr:nvCxnSpPr>
        <xdr:cNvPr id="53" name="Straight Arrow Connector 52"/>
        <xdr:cNvCxnSpPr>
          <a:stCxn id="26" idx="7"/>
          <a:endCxn id="125" idx="3"/>
        </xdr:cNvCxnSpPr>
      </xdr:nvCxnSpPr>
      <xdr:spPr>
        <a:xfrm flipV="1">
          <a:off x="4749618" y="4262129"/>
          <a:ext cx="4414884" cy="72642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70938</xdr:colOff>
      <xdr:row>24</xdr:row>
      <xdr:rowOff>132089</xdr:rowOff>
    </xdr:from>
    <xdr:to>
      <xdr:col>11</xdr:col>
      <xdr:colOff>550998</xdr:colOff>
      <xdr:row>26</xdr:row>
      <xdr:rowOff>17789</xdr:rowOff>
    </xdr:to>
    <xdr:sp macro="" textlink="">
      <xdr:nvSpPr>
        <xdr:cNvPr id="55" name="Rectangle 54"/>
        <xdr:cNvSpPr/>
      </xdr:nvSpPr>
      <xdr:spPr>
        <a:xfrm>
          <a:off x="6776538" y="4521209"/>
          <a:ext cx="480060" cy="2514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K'=0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82770</xdr:colOff>
      <xdr:row>9</xdr:row>
      <xdr:rowOff>156548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78770" cy="2417427"/>
        </a:xfrm>
        <a:prstGeom prst="rect">
          <a:avLst/>
        </a:prstGeom>
      </xdr:spPr>
    </xdr:pic>
    <xdr:clientData/>
  </xdr:twoCellAnchor>
  <xdr:twoCellAnchor>
    <xdr:from>
      <xdr:col>5</xdr:col>
      <xdr:colOff>15240</xdr:colOff>
      <xdr:row>17</xdr:row>
      <xdr:rowOff>243840</xdr:rowOff>
    </xdr:from>
    <xdr:to>
      <xdr:col>7</xdr:col>
      <xdr:colOff>7620</xdr:colOff>
      <xdr:row>18</xdr:row>
      <xdr:rowOff>7620</xdr:rowOff>
    </xdr:to>
    <xdr:cxnSp macro="">
      <xdr:nvCxnSpPr>
        <xdr:cNvPr id="6" name="Straight Arrow Connector 5"/>
        <xdr:cNvCxnSpPr/>
      </xdr:nvCxnSpPr>
      <xdr:spPr>
        <a:xfrm>
          <a:off x="2339340" y="4267200"/>
          <a:ext cx="92202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15</xdr:row>
      <xdr:rowOff>15240</xdr:rowOff>
    </xdr:from>
    <xdr:to>
      <xdr:col>12</xdr:col>
      <xdr:colOff>167640</xdr:colOff>
      <xdr:row>18</xdr:row>
      <xdr:rowOff>7620</xdr:rowOff>
    </xdr:to>
    <xdr:cxnSp macro="">
      <xdr:nvCxnSpPr>
        <xdr:cNvPr id="9" name="Straight Arrow Connector 8"/>
        <xdr:cNvCxnSpPr/>
      </xdr:nvCxnSpPr>
      <xdr:spPr>
        <a:xfrm flipV="1">
          <a:off x="4655820" y="3535680"/>
          <a:ext cx="1089660" cy="7467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</xdr:colOff>
      <xdr:row>18</xdr:row>
      <xdr:rowOff>0</xdr:rowOff>
    </xdr:from>
    <xdr:to>
      <xdr:col>12</xdr:col>
      <xdr:colOff>441960</xdr:colOff>
      <xdr:row>18</xdr:row>
      <xdr:rowOff>15240</xdr:rowOff>
    </xdr:to>
    <xdr:cxnSp macro="">
      <xdr:nvCxnSpPr>
        <xdr:cNvPr id="14" name="Straight Arrow Connector 13"/>
        <xdr:cNvCxnSpPr/>
      </xdr:nvCxnSpPr>
      <xdr:spPr>
        <a:xfrm>
          <a:off x="4678680" y="4274820"/>
          <a:ext cx="134112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</xdr:colOff>
      <xdr:row>18</xdr:row>
      <xdr:rowOff>15240</xdr:rowOff>
    </xdr:from>
    <xdr:to>
      <xdr:col>12</xdr:col>
      <xdr:colOff>342900</xdr:colOff>
      <xdr:row>21</xdr:row>
      <xdr:rowOff>243840</xdr:rowOff>
    </xdr:to>
    <xdr:cxnSp macro="">
      <xdr:nvCxnSpPr>
        <xdr:cNvPr id="18" name="Straight Arrow Connector 17"/>
        <xdr:cNvCxnSpPr/>
      </xdr:nvCxnSpPr>
      <xdr:spPr>
        <a:xfrm>
          <a:off x="4671060" y="4290060"/>
          <a:ext cx="1249680" cy="9829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</xdr:colOff>
      <xdr:row>18</xdr:row>
      <xdr:rowOff>38100</xdr:rowOff>
    </xdr:from>
    <xdr:to>
      <xdr:col>10</xdr:col>
      <xdr:colOff>411480</xdr:colOff>
      <xdr:row>25</xdr:row>
      <xdr:rowOff>243840</xdr:rowOff>
    </xdr:to>
    <xdr:cxnSp macro="">
      <xdr:nvCxnSpPr>
        <xdr:cNvPr id="22" name="Straight Arrow Connector 21"/>
        <xdr:cNvCxnSpPr/>
      </xdr:nvCxnSpPr>
      <xdr:spPr>
        <a:xfrm>
          <a:off x="4671060" y="4312920"/>
          <a:ext cx="388620" cy="19659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</xdr:colOff>
      <xdr:row>13</xdr:row>
      <xdr:rowOff>236220</xdr:rowOff>
    </xdr:from>
    <xdr:to>
      <xdr:col>17</xdr:col>
      <xdr:colOff>15240</xdr:colOff>
      <xdr:row>13</xdr:row>
      <xdr:rowOff>236220</xdr:rowOff>
    </xdr:to>
    <xdr:cxnSp macro="">
      <xdr:nvCxnSpPr>
        <xdr:cNvPr id="30" name="Straight Arrow Connector 29"/>
        <xdr:cNvCxnSpPr/>
      </xdr:nvCxnSpPr>
      <xdr:spPr>
        <a:xfrm>
          <a:off x="6979920" y="3253740"/>
          <a:ext cx="93726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</xdr:row>
      <xdr:rowOff>243840</xdr:rowOff>
    </xdr:from>
    <xdr:to>
      <xdr:col>18</xdr:col>
      <xdr:colOff>22860</xdr:colOff>
      <xdr:row>18</xdr:row>
      <xdr:rowOff>0</xdr:rowOff>
    </xdr:to>
    <xdr:cxnSp macro="">
      <xdr:nvCxnSpPr>
        <xdr:cNvPr id="42" name="Straight Arrow Connector 41"/>
        <xdr:cNvCxnSpPr/>
      </xdr:nvCxnSpPr>
      <xdr:spPr>
        <a:xfrm>
          <a:off x="7437120" y="4267200"/>
          <a:ext cx="9525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15240</xdr:colOff>
      <xdr:row>18</xdr:row>
      <xdr:rowOff>7620</xdr:rowOff>
    </xdr:from>
    <xdr:to>
      <xdr:col>23</xdr:col>
      <xdr:colOff>7620</xdr:colOff>
      <xdr:row>18</xdr:row>
      <xdr:rowOff>7620</xdr:rowOff>
    </xdr:to>
    <xdr:cxnSp macro="">
      <xdr:nvCxnSpPr>
        <xdr:cNvPr id="46" name="Straight Arrow Connector 45"/>
        <xdr:cNvCxnSpPr/>
      </xdr:nvCxnSpPr>
      <xdr:spPr>
        <a:xfrm>
          <a:off x="9776460" y="4282440"/>
          <a:ext cx="9220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26</xdr:row>
      <xdr:rowOff>243840</xdr:rowOff>
    </xdr:from>
    <xdr:to>
      <xdr:col>14</xdr:col>
      <xdr:colOff>15240</xdr:colOff>
      <xdr:row>27</xdr:row>
      <xdr:rowOff>0</xdr:rowOff>
    </xdr:to>
    <xdr:cxnSp macro="">
      <xdr:nvCxnSpPr>
        <xdr:cNvPr id="49" name="Straight Arrow Connector 48"/>
        <xdr:cNvCxnSpPr/>
      </xdr:nvCxnSpPr>
      <xdr:spPr>
        <a:xfrm flipV="1">
          <a:off x="5577840" y="6530340"/>
          <a:ext cx="9448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28</xdr:row>
      <xdr:rowOff>0</xdr:rowOff>
    </xdr:from>
    <xdr:to>
      <xdr:col>19</xdr:col>
      <xdr:colOff>15240</xdr:colOff>
      <xdr:row>28</xdr:row>
      <xdr:rowOff>0</xdr:rowOff>
    </xdr:to>
    <xdr:cxnSp macro="">
      <xdr:nvCxnSpPr>
        <xdr:cNvPr id="51" name="Straight Arrow Connector 50"/>
        <xdr:cNvCxnSpPr/>
      </xdr:nvCxnSpPr>
      <xdr:spPr>
        <a:xfrm>
          <a:off x="7901940" y="6537960"/>
          <a:ext cx="9448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</xdr:colOff>
      <xdr:row>27</xdr:row>
      <xdr:rowOff>118334</xdr:rowOff>
    </xdr:from>
    <xdr:to>
      <xdr:col>24</xdr:col>
      <xdr:colOff>22860</xdr:colOff>
      <xdr:row>27</xdr:row>
      <xdr:rowOff>118334</xdr:rowOff>
    </xdr:to>
    <xdr:cxnSp macro="">
      <xdr:nvCxnSpPr>
        <xdr:cNvPr id="53" name="Straight Arrow Connector 52"/>
        <xdr:cNvCxnSpPr/>
      </xdr:nvCxnSpPr>
      <xdr:spPr>
        <a:xfrm>
          <a:off x="10343926" y="6895652"/>
          <a:ext cx="94756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18</xdr:row>
      <xdr:rowOff>45720</xdr:rowOff>
    </xdr:from>
    <xdr:to>
      <xdr:col>39</xdr:col>
      <xdr:colOff>449580</xdr:colOff>
      <xdr:row>27</xdr:row>
      <xdr:rowOff>0</xdr:rowOff>
    </xdr:to>
    <xdr:cxnSp macro="">
      <xdr:nvCxnSpPr>
        <xdr:cNvPr id="56" name="Straight Arrow Connector 55"/>
        <xdr:cNvCxnSpPr/>
      </xdr:nvCxnSpPr>
      <xdr:spPr>
        <a:xfrm flipV="1">
          <a:off x="12550140" y="4320540"/>
          <a:ext cx="5097780" cy="22174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25121</xdr:colOff>
      <xdr:row>18</xdr:row>
      <xdr:rowOff>133979</xdr:rowOff>
    </xdr:from>
    <xdr:to>
      <xdr:col>28</xdr:col>
      <xdr:colOff>50242</xdr:colOff>
      <xdr:row>22</xdr:row>
      <xdr:rowOff>226088</xdr:rowOff>
    </xdr:to>
    <xdr:cxnSp macro="">
      <xdr:nvCxnSpPr>
        <xdr:cNvPr id="62" name="Straight Arrow Connector 61"/>
        <xdr:cNvCxnSpPr/>
      </xdr:nvCxnSpPr>
      <xdr:spPr>
        <a:xfrm flipV="1">
          <a:off x="7058967" y="4655737"/>
          <a:ext cx="6204857" cy="109694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30480</xdr:colOff>
      <xdr:row>13</xdr:row>
      <xdr:rowOff>243840</xdr:rowOff>
    </xdr:from>
    <xdr:to>
      <xdr:col>28</xdr:col>
      <xdr:colOff>0</xdr:colOff>
      <xdr:row>17</xdr:row>
      <xdr:rowOff>167473</xdr:rowOff>
    </xdr:to>
    <xdr:cxnSp macro="">
      <xdr:nvCxnSpPr>
        <xdr:cNvPr id="67" name="Straight Arrow Connector 66"/>
        <xdr:cNvCxnSpPr/>
      </xdr:nvCxnSpPr>
      <xdr:spPr>
        <a:xfrm>
          <a:off x="9408942" y="3509554"/>
          <a:ext cx="3804640" cy="92846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15240</xdr:colOff>
      <xdr:row>18</xdr:row>
      <xdr:rowOff>0</xdr:rowOff>
    </xdr:from>
    <xdr:to>
      <xdr:col>28</xdr:col>
      <xdr:colOff>22860</xdr:colOff>
      <xdr:row>18</xdr:row>
      <xdr:rowOff>15240</xdr:rowOff>
    </xdr:to>
    <xdr:cxnSp macro="">
      <xdr:nvCxnSpPr>
        <xdr:cNvPr id="72" name="Straight Arrow Connector 71"/>
        <xdr:cNvCxnSpPr/>
      </xdr:nvCxnSpPr>
      <xdr:spPr>
        <a:xfrm>
          <a:off x="12100560" y="4274820"/>
          <a:ext cx="93726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17</xdr:row>
      <xdr:rowOff>242835</xdr:rowOff>
    </xdr:from>
    <xdr:to>
      <xdr:col>35</xdr:col>
      <xdr:colOff>0</xdr:colOff>
      <xdr:row>18</xdr:row>
      <xdr:rowOff>0</xdr:rowOff>
    </xdr:to>
    <xdr:cxnSp macro="">
      <xdr:nvCxnSpPr>
        <xdr:cNvPr id="76" name="Straight Arrow Connector 75"/>
        <xdr:cNvCxnSpPr/>
      </xdr:nvCxnSpPr>
      <xdr:spPr>
        <a:xfrm>
          <a:off x="14620352" y="4262176"/>
          <a:ext cx="1875692" cy="837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18</xdr:row>
      <xdr:rowOff>45720</xdr:rowOff>
    </xdr:from>
    <xdr:to>
      <xdr:col>35</xdr:col>
      <xdr:colOff>7620</xdr:colOff>
      <xdr:row>26</xdr:row>
      <xdr:rowOff>198120</xdr:rowOff>
    </xdr:to>
    <xdr:cxnSp macro="">
      <xdr:nvCxnSpPr>
        <xdr:cNvPr id="81" name="Straight Arrow Connector 80"/>
        <xdr:cNvCxnSpPr/>
      </xdr:nvCxnSpPr>
      <xdr:spPr>
        <a:xfrm flipV="1">
          <a:off x="7901940" y="4320540"/>
          <a:ext cx="7444740" cy="21640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</xdr:colOff>
      <xdr:row>17</xdr:row>
      <xdr:rowOff>243840</xdr:rowOff>
    </xdr:from>
    <xdr:to>
      <xdr:col>40</xdr:col>
      <xdr:colOff>7620</xdr:colOff>
      <xdr:row>18</xdr:row>
      <xdr:rowOff>0</xdr:rowOff>
    </xdr:to>
    <xdr:cxnSp macro="">
      <xdr:nvCxnSpPr>
        <xdr:cNvPr id="84" name="Straight Arrow Connector 83"/>
        <xdr:cNvCxnSpPr/>
      </xdr:nvCxnSpPr>
      <xdr:spPr>
        <a:xfrm flipV="1">
          <a:off x="16748760" y="4267200"/>
          <a:ext cx="92202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</xdr:row>
      <xdr:rowOff>30480</xdr:rowOff>
    </xdr:from>
    <xdr:to>
      <xdr:col>7</xdr:col>
      <xdr:colOff>15240</xdr:colOff>
      <xdr:row>18</xdr:row>
      <xdr:rowOff>45720</xdr:rowOff>
    </xdr:to>
    <xdr:cxnSp macro="">
      <xdr:nvCxnSpPr>
        <xdr:cNvPr id="89" name="Straight Arrow Connector 88"/>
        <xdr:cNvCxnSpPr/>
      </xdr:nvCxnSpPr>
      <xdr:spPr>
        <a:xfrm>
          <a:off x="2324100" y="4305300"/>
          <a:ext cx="94488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17318</xdr:colOff>
      <xdr:row>17</xdr:row>
      <xdr:rowOff>199159</xdr:rowOff>
    </xdr:from>
    <xdr:to>
      <xdr:col>40</xdr:col>
      <xdr:colOff>17318</xdr:colOff>
      <xdr:row>17</xdr:row>
      <xdr:rowOff>207819</xdr:rowOff>
    </xdr:to>
    <xdr:cxnSp macro="">
      <xdr:nvCxnSpPr>
        <xdr:cNvPr id="31" name="Straight Arrow Connector 30"/>
        <xdr:cNvCxnSpPr/>
      </xdr:nvCxnSpPr>
      <xdr:spPr>
        <a:xfrm flipV="1">
          <a:off x="16850591" y="4216977"/>
          <a:ext cx="935182" cy="866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35859</xdr:colOff>
      <xdr:row>17</xdr:row>
      <xdr:rowOff>206188</xdr:rowOff>
    </xdr:from>
    <xdr:to>
      <xdr:col>35</xdr:col>
      <xdr:colOff>0</xdr:colOff>
      <xdr:row>17</xdr:row>
      <xdr:rowOff>224118</xdr:rowOff>
    </xdr:to>
    <xdr:cxnSp macro="">
      <xdr:nvCxnSpPr>
        <xdr:cNvPr id="32" name="Straight Arrow Connector 31"/>
        <xdr:cNvCxnSpPr/>
      </xdr:nvCxnSpPr>
      <xdr:spPr>
        <a:xfrm>
          <a:off x="14567647" y="4473388"/>
          <a:ext cx="1828800" cy="1793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71718</xdr:colOff>
      <xdr:row>17</xdr:row>
      <xdr:rowOff>206188</xdr:rowOff>
    </xdr:from>
    <xdr:to>
      <xdr:col>13</xdr:col>
      <xdr:colOff>0</xdr:colOff>
      <xdr:row>17</xdr:row>
      <xdr:rowOff>233082</xdr:rowOff>
    </xdr:to>
    <xdr:cxnSp macro="">
      <xdr:nvCxnSpPr>
        <xdr:cNvPr id="44" name="Straight Arrow Connector 43"/>
        <xdr:cNvCxnSpPr/>
      </xdr:nvCxnSpPr>
      <xdr:spPr>
        <a:xfrm flipV="1">
          <a:off x="4733365" y="4473388"/>
          <a:ext cx="1326776" cy="26894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26894</xdr:colOff>
      <xdr:row>18</xdr:row>
      <xdr:rowOff>44823</xdr:rowOff>
    </xdr:from>
    <xdr:to>
      <xdr:col>18</xdr:col>
      <xdr:colOff>35859</xdr:colOff>
      <xdr:row>18</xdr:row>
      <xdr:rowOff>62753</xdr:rowOff>
    </xdr:to>
    <xdr:cxnSp macro="">
      <xdr:nvCxnSpPr>
        <xdr:cNvPr id="47" name="Straight Arrow Connector 46"/>
        <xdr:cNvCxnSpPr/>
      </xdr:nvCxnSpPr>
      <xdr:spPr>
        <a:xfrm>
          <a:off x="7485529" y="4563035"/>
          <a:ext cx="941295" cy="1793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528918</xdr:colOff>
      <xdr:row>18</xdr:row>
      <xdr:rowOff>53788</xdr:rowOff>
    </xdr:from>
    <xdr:to>
      <xdr:col>23</xdr:col>
      <xdr:colOff>0</xdr:colOff>
      <xdr:row>18</xdr:row>
      <xdr:rowOff>53788</xdr:rowOff>
    </xdr:to>
    <xdr:cxnSp macro="">
      <xdr:nvCxnSpPr>
        <xdr:cNvPr id="52" name="Straight Arrow Connector 51"/>
        <xdr:cNvCxnSpPr/>
      </xdr:nvCxnSpPr>
      <xdr:spPr>
        <a:xfrm>
          <a:off x="9852212" y="4572000"/>
          <a:ext cx="95025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26894</xdr:colOff>
      <xdr:row>18</xdr:row>
      <xdr:rowOff>53788</xdr:rowOff>
    </xdr:from>
    <xdr:to>
      <xdr:col>28</xdr:col>
      <xdr:colOff>8965</xdr:colOff>
      <xdr:row>18</xdr:row>
      <xdr:rowOff>71717</xdr:rowOff>
    </xdr:to>
    <xdr:cxnSp macro="">
      <xdr:nvCxnSpPr>
        <xdr:cNvPr id="55" name="Straight Arrow Connector 54"/>
        <xdr:cNvCxnSpPr/>
      </xdr:nvCxnSpPr>
      <xdr:spPr>
        <a:xfrm>
          <a:off x="12227859" y="4572000"/>
          <a:ext cx="914400" cy="1792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35859</xdr:colOff>
      <xdr:row>18</xdr:row>
      <xdr:rowOff>71717</xdr:rowOff>
    </xdr:from>
    <xdr:to>
      <xdr:col>11</xdr:col>
      <xdr:colOff>80682</xdr:colOff>
      <xdr:row>26</xdr:row>
      <xdr:rowOff>17929</xdr:rowOff>
    </xdr:to>
    <xdr:cxnSp macro="">
      <xdr:nvCxnSpPr>
        <xdr:cNvPr id="59" name="Straight Arrow Connector 58"/>
        <xdr:cNvCxnSpPr/>
      </xdr:nvCxnSpPr>
      <xdr:spPr>
        <a:xfrm>
          <a:off x="4697506" y="4589929"/>
          <a:ext cx="510988" cy="1954306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53788</xdr:colOff>
      <xdr:row>18</xdr:row>
      <xdr:rowOff>35859</xdr:rowOff>
    </xdr:from>
    <xdr:to>
      <xdr:col>13</xdr:col>
      <xdr:colOff>8965</xdr:colOff>
      <xdr:row>22</xdr:row>
      <xdr:rowOff>0</xdr:rowOff>
    </xdr:to>
    <xdr:cxnSp macro="">
      <xdr:nvCxnSpPr>
        <xdr:cNvPr id="63" name="Straight Arrow Connector 62"/>
        <xdr:cNvCxnSpPr/>
      </xdr:nvCxnSpPr>
      <xdr:spPr>
        <a:xfrm>
          <a:off x="4715435" y="4554071"/>
          <a:ext cx="1353671" cy="968188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8965</xdr:colOff>
      <xdr:row>26</xdr:row>
      <xdr:rowOff>170329</xdr:rowOff>
    </xdr:from>
    <xdr:to>
      <xdr:col>13</xdr:col>
      <xdr:colOff>457200</xdr:colOff>
      <xdr:row>26</xdr:row>
      <xdr:rowOff>188260</xdr:rowOff>
    </xdr:to>
    <xdr:cxnSp macro="">
      <xdr:nvCxnSpPr>
        <xdr:cNvPr id="65" name="Straight Arrow Connector 64"/>
        <xdr:cNvCxnSpPr/>
      </xdr:nvCxnSpPr>
      <xdr:spPr>
        <a:xfrm flipV="1">
          <a:off x="5602941" y="6696635"/>
          <a:ext cx="914400" cy="17931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26894</xdr:colOff>
      <xdr:row>18</xdr:row>
      <xdr:rowOff>107576</xdr:rowOff>
    </xdr:from>
    <xdr:to>
      <xdr:col>35</xdr:col>
      <xdr:colOff>17929</xdr:colOff>
      <xdr:row>27</xdr:row>
      <xdr:rowOff>0</xdr:rowOff>
    </xdr:to>
    <xdr:cxnSp macro="">
      <xdr:nvCxnSpPr>
        <xdr:cNvPr id="68" name="Straight Arrow Connector 67"/>
        <xdr:cNvCxnSpPr/>
      </xdr:nvCxnSpPr>
      <xdr:spPr>
        <a:xfrm flipV="1">
          <a:off x="7951694" y="4625788"/>
          <a:ext cx="8462682" cy="215153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27</xdr:row>
      <xdr:rowOff>188258</xdr:rowOff>
    </xdr:from>
    <xdr:to>
      <xdr:col>19</xdr:col>
      <xdr:colOff>26895</xdr:colOff>
      <xdr:row>27</xdr:row>
      <xdr:rowOff>206188</xdr:rowOff>
    </xdr:to>
    <xdr:cxnSp macro="">
      <xdr:nvCxnSpPr>
        <xdr:cNvPr id="71" name="Straight Arrow Connector 70"/>
        <xdr:cNvCxnSpPr/>
      </xdr:nvCxnSpPr>
      <xdr:spPr>
        <a:xfrm flipV="1">
          <a:off x="7924800" y="6965576"/>
          <a:ext cx="959224" cy="1793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457201</xdr:colOff>
      <xdr:row>27</xdr:row>
      <xdr:rowOff>170329</xdr:rowOff>
    </xdr:from>
    <xdr:to>
      <xdr:col>24</xdr:col>
      <xdr:colOff>0</xdr:colOff>
      <xdr:row>27</xdr:row>
      <xdr:rowOff>179293</xdr:rowOff>
    </xdr:to>
    <xdr:cxnSp macro="">
      <xdr:nvCxnSpPr>
        <xdr:cNvPr id="73" name="Straight Arrow Connector 72"/>
        <xdr:cNvCxnSpPr/>
      </xdr:nvCxnSpPr>
      <xdr:spPr>
        <a:xfrm flipV="1">
          <a:off x="10327342" y="6947647"/>
          <a:ext cx="941293" cy="8964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8965</xdr:colOff>
      <xdr:row>18</xdr:row>
      <xdr:rowOff>80683</xdr:rowOff>
    </xdr:from>
    <xdr:to>
      <xdr:col>40</xdr:col>
      <xdr:colOff>8964</xdr:colOff>
      <xdr:row>27</xdr:row>
      <xdr:rowOff>35858</xdr:rowOff>
    </xdr:to>
    <xdr:cxnSp macro="">
      <xdr:nvCxnSpPr>
        <xdr:cNvPr id="75" name="Straight Arrow Connector 74"/>
        <xdr:cNvCxnSpPr/>
      </xdr:nvCxnSpPr>
      <xdr:spPr>
        <a:xfrm flipV="1">
          <a:off x="12676094" y="4598895"/>
          <a:ext cx="6060141" cy="2214281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26894</xdr:colOff>
      <xdr:row>18</xdr:row>
      <xdr:rowOff>197223</xdr:rowOff>
    </xdr:from>
    <xdr:to>
      <xdr:col>28</xdr:col>
      <xdr:colOff>35859</xdr:colOff>
      <xdr:row>23</xdr:row>
      <xdr:rowOff>35858</xdr:rowOff>
    </xdr:to>
    <xdr:cxnSp macro="">
      <xdr:nvCxnSpPr>
        <xdr:cNvPr id="82" name="Straight Arrow Connector 81"/>
        <xdr:cNvCxnSpPr/>
      </xdr:nvCxnSpPr>
      <xdr:spPr>
        <a:xfrm flipV="1">
          <a:off x="7019365" y="4715435"/>
          <a:ext cx="6149788" cy="1093694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232358</xdr:colOff>
      <xdr:row>10</xdr:row>
      <xdr:rowOff>228600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94758" cy="2743200"/>
        </a:xfrm>
        <a:prstGeom prst="rect">
          <a:avLst/>
        </a:prstGeom>
      </xdr:spPr>
    </xdr:pic>
    <xdr:clientData/>
  </xdr:twoCellAnchor>
  <xdr:twoCellAnchor>
    <xdr:from>
      <xdr:col>34</xdr:col>
      <xdr:colOff>15240</xdr:colOff>
      <xdr:row>5</xdr:row>
      <xdr:rowOff>22860</xdr:rowOff>
    </xdr:from>
    <xdr:to>
      <xdr:col>35</xdr:col>
      <xdr:colOff>99060</xdr:colOff>
      <xdr:row>6</xdr:row>
      <xdr:rowOff>175260</xdr:rowOff>
    </xdr:to>
    <xdr:sp macro="" textlink="">
      <xdr:nvSpPr>
        <xdr:cNvPr id="3" name="Oval 2"/>
        <xdr:cNvSpPr/>
      </xdr:nvSpPr>
      <xdr:spPr>
        <a:xfrm>
          <a:off x="13487400" y="1280160"/>
          <a:ext cx="480060" cy="4038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6</a:t>
          </a:r>
        </a:p>
      </xdr:txBody>
    </xdr:sp>
    <xdr:clientData/>
  </xdr:twoCellAnchor>
  <xdr:twoCellAnchor>
    <xdr:from>
      <xdr:col>32</xdr:col>
      <xdr:colOff>83820</xdr:colOff>
      <xdr:row>4</xdr:row>
      <xdr:rowOff>205740</xdr:rowOff>
    </xdr:from>
    <xdr:to>
      <xdr:col>33</xdr:col>
      <xdr:colOff>251460</xdr:colOff>
      <xdr:row>5</xdr:row>
      <xdr:rowOff>205740</xdr:rowOff>
    </xdr:to>
    <xdr:sp macro="" textlink="">
      <xdr:nvSpPr>
        <xdr:cNvPr id="4" name="Rectangle 3"/>
        <xdr:cNvSpPr/>
      </xdr:nvSpPr>
      <xdr:spPr>
        <a:xfrm>
          <a:off x="12763500" y="1211580"/>
          <a:ext cx="56388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I=3</a:t>
          </a:r>
        </a:p>
      </xdr:txBody>
    </xdr:sp>
    <xdr:clientData/>
  </xdr:twoCellAnchor>
  <xdr:twoCellAnchor>
    <xdr:from>
      <xdr:col>31</xdr:col>
      <xdr:colOff>365760</xdr:colOff>
      <xdr:row>5</xdr:row>
      <xdr:rowOff>224790</xdr:rowOff>
    </xdr:from>
    <xdr:to>
      <xdr:col>34</xdr:col>
      <xdr:colOff>15240</xdr:colOff>
      <xdr:row>5</xdr:row>
      <xdr:rowOff>224790</xdr:rowOff>
    </xdr:to>
    <xdr:cxnSp macro="">
      <xdr:nvCxnSpPr>
        <xdr:cNvPr id="6" name="Straight Arrow Connector 5"/>
        <xdr:cNvCxnSpPr>
          <a:stCxn id="91" idx="6"/>
          <a:endCxn id="3" idx="2"/>
        </xdr:cNvCxnSpPr>
      </xdr:nvCxnSpPr>
      <xdr:spPr>
        <a:xfrm>
          <a:off x="12649200" y="1482090"/>
          <a:ext cx="8382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</xdr:colOff>
      <xdr:row>6</xdr:row>
      <xdr:rowOff>190500</xdr:rowOff>
    </xdr:from>
    <xdr:to>
      <xdr:col>14</xdr:col>
      <xdr:colOff>114300</xdr:colOff>
      <xdr:row>8</xdr:row>
      <xdr:rowOff>91440</xdr:rowOff>
    </xdr:to>
    <xdr:sp macro="" textlink="">
      <xdr:nvSpPr>
        <xdr:cNvPr id="8" name="Oval 7"/>
        <xdr:cNvSpPr/>
      </xdr:nvSpPr>
      <xdr:spPr>
        <a:xfrm>
          <a:off x="5181600" y="1699260"/>
          <a:ext cx="480060" cy="4038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17</xdr:col>
      <xdr:colOff>335280</xdr:colOff>
      <xdr:row>1</xdr:row>
      <xdr:rowOff>0</xdr:rowOff>
    </xdr:from>
    <xdr:to>
      <xdr:col>19</xdr:col>
      <xdr:colOff>22860</xdr:colOff>
      <xdr:row>2</xdr:row>
      <xdr:rowOff>152400</xdr:rowOff>
    </xdr:to>
    <xdr:sp macro="" textlink="">
      <xdr:nvSpPr>
        <xdr:cNvPr id="9" name="Oval 8"/>
        <xdr:cNvSpPr/>
      </xdr:nvSpPr>
      <xdr:spPr>
        <a:xfrm>
          <a:off x="7071360" y="251460"/>
          <a:ext cx="480060" cy="4038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14</xdr:col>
      <xdr:colOff>43997</xdr:colOff>
      <xdr:row>2</xdr:row>
      <xdr:rowOff>93256</xdr:rowOff>
    </xdr:from>
    <xdr:to>
      <xdr:col>18</xdr:col>
      <xdr:colOff>9343</xdr:colOff>
      <xdr:row>6</xdr:row>
      <xdr:rowOff>249644</xdr:rowOff>
    </xdr:to>
    <xdr:cxnSp macro="">
      <xdr:nvCxnSpPr>
        <xdr:cNvPr id="12" name="Straight Arrow Connector 11"/>
        <xdr:cNvCxnSpPr>
          <a:stCxn id="8" idx="7"/>
          <a:endCxn id="9" idx="3"/>
        </xdr:cNvCxnSpPr>
      </xdr:nvCxnSpPr>
      <xdr:spPr>
        <a:xfrm flipV="1">
          <a:off x="5591357" y="596176"/>
          <a:ext cx="1550306" cy="116222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114300</xdr:colOff>
      <xdr:row>4</xdr:row>
      <xdr:rowOff>108496</xdr:rowOff>
    </xdr:from>
    <xdr:to>
      <xdr:col>21</xdr:col>
      <xdr:colOff>230323</xdr:colOff>
      <xdr:row>7</xdr:row>
      <xdr:rowOff>140970</xdr:rowOff>
    </xdr:to>
    <xdr:cxnSp macro="">
      <xdr:nvCxnSpPr>
        <xdr:cNvPr id="15" name="Straight Arrow Connector 14"/>
        <xdr:cNvCxnSpPr>
          <a:stCxn id="8" idx="6"/>
          <a:endCxn id="33" idx="3"/>
        </xdr:cNvCxnSpPr>
      </xdr:nvCxnSpPr>
      <xdr:spPr>
        <a:xfrm flipV="1">
          <a:off x="5661660" y="1114336"/>
          <a:ext cx="2889703" cy="78685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43997</xdr:colOff>
      <xdr:row>6</xdr:row>
      <xdr:rowOff>160020</xdr:rowOff>
    </xdr:from>
    <xdr:to>
      <xdr:col>27</xdr:col>
      <xdr:colOff>278130</xdr:colOff>
      <xdr:row>8</xdr:row>
      <xdr:rowOff>32296</xdr:rowOff>
    </xdr:to>
    <xdr:cxnSp macro="">
      <xdr:nvCxnSpPr>
        <xdr:cNvPr id="19" name="Straight Arrow Connector 18"/>
        <xdr:cNvCxnSpPr>
          <a:stCxn id="8" idx="5"/>
          <a:endCxn id="67" idx="4"/>
        </xdr:cNvCxnSpPr>
      </xdr:nvCxnSpPr>
      <xdr:spPr>
        <a:xfrm flipV="1">
          <a:off x="5591357" y="1668780"/>
          <a:ext cx="5385253" cy="37519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259080</xdr:colOff>
      <xdr:row>3</xdr:row>
      <xdr:rowOff>205740</xdr:rowOff>
    </xdr:from>
    <xdr:to>
      <xdr:col>17</xdr:col>
      <xdr:colOff>30480</xdr:colOff>
      <xdr:row>4</xdr:row>
      <xdr:rowOff>205740</xdr:rowOff>
    </xdr:to>
    <xdr:sp macro="" textlink="">
      <xdr:nvSpPr>
        <xdr:cNvPr id="26" name="Rectangle 25"/>
        <xdr:cNvSpPr/>
      </xdr:nvSpPr>
      <xdr:spPr>
        <a:xfrm>
          <a:off x="6202680" y="960120"/>
          <a:ext cx="56388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A=4</a:t>
          </a:r>
        </a:p>
      </xdr:txBody>
    </xdr:sp>
    <xdr:clientData/>
  </xdr:twoCellAnchor>
  <xdr:twoCellAnchor>
    <xdr:from>
      <xdr:col>17</xdr:col>
      <xdr:colOff>388620</xdr:colOff>
      <xdr:row>4</xdr:row>
      <xdr:rowOff>156210</xdr:rowOff>
    </xdr:from>
    <xdr:to>
      <xdr:col>19</xdr:col>
      <xdr:colOff>160020</xdr:colOff>
      <xdr:row>5</xdr:row>
      <xdr:rowOff>156210</xdr:rowOff>
    </xdr:to>
    <xdr:sp macro="" textlink="">
      <xdr:nvSpPr>
        <xdr:cNvPr id="27" name="Rectangle 26"/>
        <xdr:cNvSpPr/>
      </xdr:nvSpPr>
      <xdr:spPr>
        <a:xfrm>
          <a:off x="7124700" y="1162050"/>
          <a:ext cx="56388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C=4</a:t>
          </a:r>
        </a:p>
      </xdr:txBody>
    </xdr:sp>
    <xdr:clientData/>
  </xdr:twoCellAnchor>
  <xdr:twoCellAnchor>
    <xdr:from>
      <xdr:col>18</xdr:col>
      <xdr:colOff>59237</xdr:colOff>
      <xdr:row>7</xdr:row>
      <xdr:rowOff>39916</xdr:rowOff>
    </xdr:from>
    <xdr:to>
      <xdr:col>19</xdr:col>
      <xdr:colOff>226877</xdr:colOff>
      <xdr:row>8</xdr:row>
      <xdr:rowOff>39916</xdr:rowOff>
    </xdr:to>
    <xdr:sp macro="" textlink="">
      <xdr:nvSpPr>
        <xdr:cNvPr id="28" name="Rectangle 27"/>
        <xdr:cNvSpPr/>
      </xdr:nvSpPr>
      <xdr:spPr>
        <a:xfrm>
          <a:off x="7191557" y="1800136"/>
          <a:ext cx="56388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D=12</a:t>
          </a:r>
        </a:p>
      </xdr:txBody>
    </xdr:sp>
    <xdr:clientData/>
  </xdr:twoCellAnchor>
  <xdr:twoCellAnchor>
    <xdr:from>
      <xdr:col>21</xdr:col>
      <xdr:colOff>160020</xdr:colOff>
      <xdr:row>3</xdr:row>
      <xdr:rowOff>15240</xdr:rowOff>
    </xdr:from>
    <xdr:to>
      <xdr:col>22</xdr:col>
      <xdr:colOff>243840</xdr:colOff>
      <xdr:row>4</xdr:row>
      <xdr:rowOff>167640</xdr:rowOff>
    </xdr:to>
    <xdr:sp macro="" textlink="">
      <xdr:nvSpPr>
        <xdr:cNvPr id="33" name="Oval 32"/>
        <xdr:cNvSpPr/>
      </xdr:nvSpPr>
      <xdr:spPr>
        <a:xfrm>
          <a:off x="8481060" y="769620"/>
          <a:ext cx="480060" cy="4038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3</a:t>
          </a:r>
        </a:p>
      </xdr:txBody>
    </xdr:sp>
    <xdr:clientData/>
  </xdr:twoCellAnchor>
  <xdr:twoCellAnchor>
    <xdr:from>
      <xdr:col>19</xdr:col>
      <xdr:colOff>22860</xdr:colOff>
      <xdr:row>1</xdr:row>
      <xdr:rowOff>201930</xdr:rowOff>
    </xdr:from>
    <xdr:to>
      <xdr:col>21</xdr:col>
      <xdr:colOff>160020</xdr:colOff>
      <xdr:row>3</xdr:row>
      <xdr:rowOff>217170</xdr:rowOff>
    </xdr:to>
    <xdr:cxnSp macro="">
      <xdr:nvCxnSpPr>
        <xdr:cNvPr id="34" name="Straight Arrow Connector 33"/>
        <xdr:cNvCxnSpPr>
          <a:stCxn id="9" idx="6"/>
          <a:endCxn id="33" idx="2"/>
        </xdr:cNvCxnSpPr>
      </xdr:nvCxnSpPr>
      <xdr:spPr>
        <a:xfrm>
          <a:off x="7551420" y="453390"/>
          <a:ext cx="929640" cy="5181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190500</xdr:colOff>
      <xdr:row>2</xdr:row>
      <xdr:rowOff>171450</xdr:rowOff>
    </xdr:from>
    <xdr:to>
      <xdr:col>20</xdr:col>
      <xdr:colOff>358140</xdr:colOff>
      <xdr:row>3</xdr:row>
      <xdr:rowOff>171450</xdr:rowOff>
    </xdr:to>
    <xdr:sp macro="" textlink="">
      <xdr:nvSpPr>
        <xdr:cNvPr id="37" name="Rectangle 36"/>
        <xdr:cNvSpPr/>
      </xdr:nvSpPr>
      <xdr:spPr>
        <a:xfrm>
          <a:off x="7719060" y="674370"/>
          <a:ext cx="56388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B=6</a:t>
          </a:r>
        </a:p>
      </xdr:txBody>
    </xdr:sp>
    <xdr:clientData/>
  </xdr:twoCellAnchor>
  <xdr:twoCellAnchor>
    <xdr:from>
      <xdr:col>23</xdr:col>
      <xdr:colOff>381000</xdr:colOff>
      <xdr:row>4</xdr:row>
      <xdr:rowOff>156210</xdr:rowOff>
    </xdr:from>
    <xdr:to>
      <xdr:col>25</xdr:col>
      <xdr:colOff>152400</xdr:colOff>
      <xdr:row>5</xdr:row>
      <xdr:rowOff>156210</xdr:rowOff>
    </xdr:to>
    <xdr:sp macro="" textlink="">
      <xdr:nvSpPr>
        <xdr:cNvPr id="46" name="Rectangle 45"/>
        <xdr:cNvSpPr/>
      </xdr:nvSpPr>
      <xdr:spPr>
        <a:xfrm>
          <a:off x="9494520" y="1162050"/>
          <a:ext cx="56388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E=10</a:t>
          </a:r>
        </a:p>
      </xdr:txBody>
    </xdr:sp>
    <xdr:clientData/>
  </xdr:twoCellAnchor>
  <xdr:twoCellAnchor>
    <xdr:from>
      <xdr:col>22</xdr:col>
      <xdr:colOff>173537</xdr:colOff>
      <xdr:row>3</xdr:row>
      <xdr:rowOff>74384</xdr:rowOff>
    </xdr:from>
    <xdr:to>
      <xdr:col>31</xdr:col>
      <xdr:colOff>125730</xdr:colOff>
      <xdr:row>5</xdr:row>
      <xdr:rowOff>22860</xdr:rowOff>
    </xdr:to>
    <xdr:cxnSp macro="">
      <xdr:nvCxnSpPr>
        <xdr:cNvPr id="50" name="Straight Arrow Connector 49"/>
        <xdr:cNvCxnSpPr>
          <a:stCxn id="33" idx="7"/>
          <a:endCxn id="91" idx="0"/>
        </xdr:cNvCxnSpPr>
      </xdr:nvCxnSpPr>
      <xdr:spPr>
        <a:xfrm>
          <a:off x="8890817" y="828764"/>
          <a:ext cx="3518353" cy="45139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11430</xdr:colOff>
      <xdr:row>3</xdr:row>
      <xdr:rowOff>7620</xdr:rowOff>
    </xdr:from>
    <xdr:to>
      <xdr:col>27</xdr:col>
      <xdr:colOff>179070</xdr:colOff>
      <xdr:row>4</xdr:row>
      <xdr:rowOff>7620</xdr:rowOff>
    </xdr:to>
    <xdr:sp macro="" textlink="">
      <xdr:nvSpPr>
        <xdr:cNvPr id="54" name="Rectangle 53"/>
        <xdr:cNvSpPr/>
      </xdr:nvSpPr>
      <xdr:spPr>
        <a:xfrm>
          <a:off x="10313670" y="762000"/>
          <a:ext cx="56388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F=10</a:t>
          </a:r>
        </a:p>
      </xdr:txBody>
    </xdr:sp>
    <xdr:clientData/>
  </xdr:twoCellAnchor>
  <xdr:twoCellAnchor>
    <xdr:from>
      <xdr:col>18</xdr:col>
      <xdr:colOff>348797</xdr:colOff>
      <xdr:row>1</xdr:row>
      <xdr:rowOff>59144</xdr:rowOff>
    </xdr:from>
    <xdr:to>
      <xdr:col>27</xdr:col>
      <xdr:colOff>278130</xdr:colOff>
      <xdr:row>5</xdr:row>
      <xdr:rowOff>7620</xdr:rowOff>
    </xdr:to>
    <xdr:cxnSp macro="">
      <xdr:nvCxnSpPr>
        <xdr:cNvPr id="61" name="Straight Arrow Connector 60"/>
        <xdr:cNvCxnSpPr>
          <a:stCxn id="9" idx="7"/>
          <a:endCxn id="67" idx="0"/>
        </xdr:cNvCxnSpPr>
      </xdr:nvCxnSpPr>
      <xdr:spPr>
        <a:xfrm>
          <a:off x="7481117" y="310604"/>
          <a:ext cx="3495493" cy="95431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129540</xdr:colOff>
      <xdr:row>1</xdr:row>
      <xdr:rowOff>0</xdr:rowOff>
    </xdr:from>
    <xdr:to>
      <xdr:col>21</xdr:col>
      <xdr:colOff>297180</xdr:colOff>
      <xdr:row>2</xdr:row>
      <xdr:rowOff>0</xdr:rowOff>
    </xdr:to>
    <xdr:sp macro="" textlink="">
      <xdr:nvSpPr>
        <xdr:cNvPr id="65" name="Rectangle 64"/>
        <xdr:cNvSpPr/>
      </xdr:nvSpPr>
      <xdr:spPr>
        <a:xfrm>
          <a:off x="8054340" y="251460"/>
          <a:ext cx="56388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G=7</a:t>
          </a:r>
        </a:p>
      </xdr:txBody>
    </xdr:sp>
    <xdr:clientData/>
  </xdr:twoCellAnchor>
  <xdr:twoCellAnchor>
    <xdr:from>
      <xdr:col>27</xdr:col>
      <xdr:colOff>38100</xdr:colOff>
      <xdr:row>5</xdr:row>
      <xdr:rowOff>7620</xdr:rowOff>
    </xdr:from>
    <xdr:to>
      <xdr:col>28</xdr:col>
      <xdr:colOff>121920</xdr:colOff>
      <xdr:row>6</xdr:row>
      <xdr:rowOff>160020</xdr:rowOff>
    </xdr:to>
    <xdr:sp macro="" textlink="">
      <xdr:nvSpPr>
        <xdr:cNvPr id="67" name="Oval 66"/>
        <xdr:cNvSpPr/>
      </xdr:nvSpPr>
      <xdr:spPr>
        <a:xfrm>
          <a:off x="10736580" y="1264920"/>
          <a:ext cx="480060" cy="4038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22</xdr:col>
      <xdr:colOff>243840</xdr:colOff>
      <xdr:row>3</xdr:row>
      <xdr:rowOff>217170</xdr:rowOff>
    </xdr:from>
    <xdr:to>
      <xdr:col>27</xdr:col>
      <xdr:colOff>38100</xdr:colOff>
      <xdr:row>5</xdr:row>
      <xdr:rowOff>209550</xdr:rowOff>
    </xdr:to>
    <xdr:cxnSp macro="">
      <xdr:nvCxnSpPr>
        <xdr:cNvPr id="68" name="Straight Arrow Connector 67"/>
        <xdr:cNvCxnSpPr>
          <a:stCxn id="33" idx="6"/>
          <a:endCxn id="67" idx="2"/>
        </xdr:cNvCxnSpPr>
      </xdr:nvCxnSpPr>
      <xdr:spPr>
        <a:xfrm>
          <a:off x="8961120" y="971550"/>
          <a:ext cx="177546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281940</xdr:colOff>
      <xdr:row>5</xdr:row>
      <xdr:rowOff>22860</xdr:rowOff>
    </xdr:from>
    <xdr:to>
      <xdr:col>31</xdr:col>
      <xdr:colOff>365760</xdr:colOff>
      <xdr:row>6</xdr:row>
      <xdr:rowOff>175260</xdr:rowOff>
    </xdr:to>
    <xdr:sp macro="" textlink="">
      <xdr:nvSpPr>
        <xdr:cNvPr id="91" name="Oval 90"/>
        <xdr:cNvSpPr/>
      </xdr:nvSpPr>
      <xdr:spPr>
        <a:xfrm>
          <a:off x="12169140" y="1280160"/>
          <a:ext cx="480060" cy="4038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5</a:t>
          </a:r>
        </a:p>
      </xdr:txBody>
    </xdr:sp>
    <xdr:clientData/>
  </xdr:twoCellAnchor>
  <xdr:twoCellAnchor>
    <xdr:from>
      <xdr:col>28</xdr:col>
      <xdr:colOff>121920</xdr:colOff>
      <xdr:row>5</xdr:row>
      <xdr:rowOff>209550</xdr:rowOff>
    </xdr:from>
    <xdr:to>
      <xdr:col>30</xdr:col>
      <xdr:colOff>281940</xdr:colOff>
      <xdr:row>5</xdr:row>
      <xdr:rowOff>224790</xdr:rowOff>
    </xdr:to>
    <xdr:cxnSp macro="">
      <xdr:nvCxnSpPr>
        <xdr:cNvPr id="92" name="Straight Arrow Connector 91"/>
        <xdr:cNvCxnSpPr>
          <a:stCxn id="67" idx="6"/>
          <a:endCxn id="91" idx="2"/>
        </xdr:cNvCxnSpPr>
      </xdr:nvCxnSpPr>
      <xdr:spPr>
        <a:xfrm>
          <a:off x="11216640" y="1466850"/>
          <a:ext cx="95250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251460</xdr:colOff>
      <xdr:row>4</xdr:row>
      <xdr:rowOff>182880</xdr:rowOff>
    </xdr:from>
    <xdr:to>
      <xdr:col>30</xdr:col>
      <xdr:colOff>22860</xdr:colOff>
      <xdr:row>5</xdr:row>
      <xdr:rowOff>182880</xdr:rowOff>
    </xdr:to>
    <xdr:sp macro="" textlink="">
      <xdr:nvSpPr>
        <xdr:cNvPr id="96" name="Rectangle 95"/>
        <xdr:cNvSpPr/>
      </xdr:nvSpPr>
      <xdr:spPr>
        <a:xfrm>
          <a:off x="11346180" y="1188720"/>
          <a:ext cx="563880" cy="251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H=10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314060</xdr:colOff>
      <xdr:row>9</xdr:row>
      <xdr:rowOff>15240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83980" cy="2278380"/>
        </a:xfrm>
        <a:prstGeom prst="rect">
          <a:avLst/>
        </a:prstGeom>
      </xdr:spPr>
    </xdr:pic>
    <xdr:clientData/>
  </xdr:twoCellAnchor>
  <xdr:twoCellAnchor>
    <xdr:from>
      <xdr:col>9</xdr:col>
      <xdr:colOff>259080</xdr:colOff>
      <xdr:row>1</xdr:row>
      <xdr:rowOff>213360</xdr:rowOff>
    </xdr:from>
    <xdr:to>
      <xdr:col>11</xdr:col>
      <xdr:colOff>259080</xdr:colOff>
      <xdr:row>3</xdr:row>
      <xdr:rowOff>22860</xdr:rowOff>
    </xdr:to>
    <xdr:cxnSp macro="">
      <xdr:nvCxnSpPr>
        <xdr:cNvPr id="4" name="Straight Arrow Connector 3"/>
        <xdr:cNvCxnSpPr/>
      </xdr:nvCxnSpPr>
      <xdr:spPr>
        <a:xfrm>
          <a:off x="3825240" y="464820"/>
          <a:ext cx="792480" cy="3124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</xdr:row>
      <xdr:rowOff>129540</xdr:rowOff>
    </xdr:from>
    <xdr:to>
      <xdr:col>13</xdr:col>
      <xdr:colOff>388620</xdr:colOff>
      <xdr:row>6</xdr:row>
      <xdr:rowOff>220980</xdr:rowOff>
    </xdr:to>
    <xdr:cxnSp macro="">
      <xdr:nvCxnSpPr>
        <xdr:cNvPr id="6" name="Straight Arrow Connector 5"/>
        <xdr:cNvCxnSpPr/>
      </xdr:nvCxnSpPr>
      <xdr:spPr>
        <a:xfrm flipV="1">
          <a:off x="4754880" y="883920"/>
          <a:ext cx="784860" cy="8458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6</xdr:row>
      <xdr:rowOff>243840</xdr:rowOff>
    </xdr:from>
    <xdr:to>
      <xdr:col>14</xdr:col>
      <xdr:colOff>0</xdr:colOff>
      <xdr:row>7</xdr:row>
      <xdr:rowOff>7620</xdr:rowOff>
    </xdr:to>
    <xdr:cxnSp macro="">
      <xdr:nvCxnSpPr>
        <xdr:cNvPr id="9" name="Straight Arrow Connector 8"/>
        <xdr:cNvCxnSpPr/>
      </xdr:nvCxnSpPr>
      <xdr:spPr>
        <a:xfrm>
          <a:off x="4777740" y="1752600"/>
          <a:ext cx="76962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0</xdr:rowOff>
    </xdr:from>
    <xdr:to>
      <xdr:col>14</xdr:col>
      <xdr:colOff>22860</xdr:colOff>
      <xdr:row>11</xdr:row>
      <xdr:rowOff>7620</xdr:rowOff>
    </xdr:to>
    <xdr:cxnSp macro="">
      <xdr:nvCxnSpPr>
        <xdr:cNvPr id="12" name="Straight Arrow Connector 11"/>
        <xdr:cNvCxnSpPr/>
      </xdr:nvCxnSpPr>
      <xdr:spPr>
        <a:xfrm>
          <a:off x="4754880" y="1760220"/>
          <a:ext cx="815340" cy="10134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</xdr:colOff>
      <xdr:row>11</xdr:row>
      <xdr:rowOff>0</xdr:rowOff>
    </xdr:from>
    <xdr:to>
      <xdr:col>18</xdr:col>
      <xdr:colOff>381000</xdr:colOff>
      <xdr:row>11</xdr:row>
      <xdr:rowOff>7620</xdr:rowOff>
    </xdr:to>
    <xdr:cxnSp macro="">
      <xdr:nvCxnSpPr>
        <xdr:cNvPr id="14" name="Straight Arrow Connector 13"/>
        <xdr:cNvCxnSpPr/>
      </xdr:nvCxnSpPr>
      <xdr:spPr>
        <a:xfrm flipV="1">
          <a:off x="6751320" y="2766060"/>
          <a:ext cx="7620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</xdr:colOff>
      <xdr:row>6</xdr:row>
      <xdr:rowOff>236220</xdr:rowOff>
    </xdr:from>
    <xdr:to>
      <xdr:col>21</xdr:col>
      <xdr:colOff>381000</xdr:colOff>
      <xdr:row>6</xdr:row>
      <xdr:rowOff>243840</xdr:rowOff>
    </xdr:to>
    <xdr:cxnSp macro="">
      <xdr:nvCxnSpPr>
        <xdr:cNvPr id="20" name="Straight Arrow Connector 19"/>
        <xdr:cNvCxnSpPr/>
      </xdr:nvCxnSpPr>
      <xdr:spPr>
        <a:xfrm>
          <a:off x="6751320" y="1744980"/>
          <a:ext cx="195072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</xdr:row>
      <xdr:rowOff>7620</xdr:rowOff>
    </xdr:from>
    <xdr:to>
      <xdr:col>23</xdr:col>
      <xdr:colOff>205740</xdr:colOff>
      <xdr:row>11</xdr:row>
      <xdr:rowOff>0</xdr:rowOff>
    </xdr:to>
    <xdr:cxnSp macro="">
      <xdr:nvCxnSpPr>
        <xdr:cNvPr id="23" name="Straight Arrow Connector 22"/>
        <xdr:cNvCxnSpPr/>
      </xdr:nvCxnSpPr>
      <xdr:spPr>
        <a:xfrm flipV="1">
          <a:off x="8717280" y="2019300"/>
          <a:ext cx="601980" cy="7467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</xdr:colOff>
      <xdr:row>7</xdr:row>
      <xdr:rowOff>7620</xdr:rowOff>
    </xdr:from>
    <xdr:to>
      <xdr:col>25</xdr:col>
      <xdr:colOff>7620</xdr:colOff>
      <xdr:row>10</xdr:row>
      <xdr:rowOff>7620</xdr:rowOff>
    </xdr:to>
    <xdr:cxnSp macro="">
      <xdr:nvCxnSpPr>
        <xdr:cNvPr id="26" name="Straight Arrow Connector 25"/>
        <xdr:cNvCxnSpPr/>
      </xdr:nvCxnSpPr>
      <xdr:spPr>
        <a:xfrm>
          <a:off x="6743700" y="1767840"/>
          <a:ext cx="3169920" cy="7543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10</xdr:row>
      <xdr:rowOff>38100</xdr:rowOff>
    </xdr:from>
    <xdr:to>
      <xdr:col>25</xdr:col>
      <xdr:colOff>15240</xdr:colOff>
      <xdr:row>11</xdr:row>
      <xdr:rowOff>15240</xdr:rowOff>
    </xdr:to>
    <xdr:cxnSp macro="">
      <xdr:nvCxnSpPr>
        <xdr:cNvPr id="29" name="Straight Arrow Connector 28"/>
        <xdr:cNvCxnSpPr/>
      </xdr:nvCxnSpPr>
      <xdr:spPr>
        <a:xfrm flipV="1">
          <a:off x="8732520" y="2552700"/>
          <a:ext cx="1188720" cy="228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</xdr:colOff>
      <xdr:row>2</xdr:row>
      <xdr:rowOff>7620</xdr:rowOff>
    </xdr:from>
    <xdr:to>
      <xdr:col>21</xdr:col>
      <xdr:colOff>388620</xdr:colOff>
      <xdr:row>10</xdr:row>
      <xdr:rowOff>243840</xdr:rowOff>
    </xdr:to>
    <xdr:cxnSp macro="">
      <xdr:nvCxnSpPr>
        <xdr:cNvPr id="33" name="Straight Arrow Connector 32"/>
        <xdr:cNvCxnSpPr/>
      </xdr:nvCxnSpPr>
      <xdr:spPr>
        <a:xfrm flipV="1">
          <a:off x="6743700" y="510540"/>
          <a:ext cx="1965960" cy="22479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</xdr:colOff>
      <xdr:row>3</xdr:row>
      <xdr:rowOff>0</xdr:rowOff>
    </xdr:from>
    <xdr:to>
      <xdr:col>28</xdr:col>
      <xdr:colOff>7620</xdr:colOff>
      <xdr:row>4</xdr:row>
      <xdr:rowOff>243840</xdr:rowOff>
    </xdr:to>
    <xdr:cxnSp macro="">
      <xdr:nvCxnSpPr>
        <xdr:cNvPr id="37" name="Straight Arrow Connector 36"/>
        <xdr:cNvCxnSpPr/>
      </xdr:nvCxnSpPr>
      <xdr:spPr>
        <a:xfrm>
          <a:off x="6743700" y="754380"/>
          <a:ext cx="435864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15240</xdr:colOff>
      <xdr:row>5</xdr:row>
      <xdr:rowOff>30480</xdr:rowOff>
    </xdr:from>
    <xdr:to>
      <xdr:col>28</xdr:col>
      <xdr:colOff>15240</xdr:colOff>
      <xdr:row>6</xdr:row>
      <xdr:rowOff>243840</xdr:rowOff>
    </xdr:to>
    <xdr:cxnSp macro="">
      <xdr:nvCxnSpPr>
        <xdr:cNvPr id="40" name="Straight Arrow Connector 39"/>
        <xdr:cNvCxnSpPr/>
      </xdr:nvCxnSpPr>
      <xdr:spPr>
        <a:xfrm flipV="1">
          <a:off x="9921240" y="1287780"/>
          <a:ext cx="1188720" cy="4648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</xdr:colOff>
      <xdr:row>1</xdr:row>
      <xdr:rowOff>7620</xdr:rowOff>
    </xdr:from>
    <xdr:to>
      <xdr:col>28</xdr:col>
      <xdr:colOff>0</xdr:colOff>
      <xdr:row>4</xdr:row>
      <xdr:rowOff>205740</xdr:rowOff>
    </xdr:to>
    <xdr:cxnSp macro="">
      <xdr:nvCxnSpPr>
        <xdr:cNvPr id="43" name="Straight Arrow Connector 42"/>
        <xdr:cNvCxnSpPr/>
      </xdr:nvCxnSpPr>
      <xdr:spPr>
        <a:xfrm>
          <a:off x="9525000" y="259080"/>
          <a:ext cx="1569720" cy="952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7620</xdr:colOff>
      <xdr:row>5</xdr:row>
      <xdr:rowOff>0</xdr:rowOff>
    </xdr:from>
    <xdr:to>
      <xdr:col>33</xdr:col>
      <xdr:colOff>7620</xdr:colOff>
      <xdr:row>5</xdr:row>
      <xdr:rowOff>7620</xdr:rowOff>
    </xdr:to>
    <xdr:cxnSp macro="">
      <xdr:nvCxnSpPr>
        <xdr:cNvPr id="46" name="Straight Arrow Connector 45"/>
        <xdr:cNvCxnSpPr/>
      </xdr:nvCxnSpPr>
      <xdr:spPr>
        <a:xfrm>
          <a:off x="12291060" y="1257300"/>
          <a:ext cx="7924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22860</xdr:colOff>
      <xdr:row>5</xdr:row>
      <xdr:rowOff>38100</xdr:rowOff>
    </xdr:from>
    <xdr:to>
      <xdr:col>33</xdr:col>
      <xdr:colOff>0</xdr:colOff>
      <xdr:row>10</xdr:row>
      <xdr:rowOff>0</xdr:rowOff>
    </xdr:to>
    <xdr:cxnSp macro="">
      <xdr:nvCxnSpPr>
        <xdr:cNvPr id="51" name="Straight Arrow Connector 50"/>
        <xdr:cNvCxnSpPr/>
      </xdr:nvCxnSpPr>
      <xdr:spPr>
        <a:xfrm flipV="1">
          <a:off x="11117580" y="1295400"/>
          <a:ext cx="1958340" cy="1219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</xdr:colOff>
      <xdr:row>4</xdr:row>
      <xdr:rowOff>243840</xdr:rowOff>
    </xdr:from>
    <xdr:to>
      <xdr:col>37</xdr:col>
      <xdr:colOff>388620</xdr:colOff>
      <xdr:row>4</xdr:row>
      <xdr:rowOff>243840</xdr:rowOff>
    </xdr:to>
    <xdr:cxnSp macro="">
      <xdr:nvCxnSpPr>
        <xdr:cNvPr id="54" name="Straight Arrow Connector 53"/>
        <xdr:cNvCxnSpPr/>
      </xdr:nvCxnSpPr>
      <xdr:spPr>
        <a:xfrm>
          <a:off x="14279880" y="1249680"/>
          <a:ext cx="7696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314060</xdr:colOff>
      <xdr:row>9</xdr:row>
      <xdr:rowOff>15240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83980" cy="227838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3</xdr:row>
      <xdr:rowOff>129540</xdr:rowOff>
    </xdr:from>
    <xdr:to>
      <xdr:col>13</xdr:col>
      <xdr:colOff>388620</xdr:colOff>
      <xdr:row>6</xdr:row>
      <xdr:rowOff>220980</xdr:rowOff>
    </xdr:to>
    <xdr:cxnSp macro="">
      <xdr:nvCxnSpPr>
        <xdr:cNvPr id="4" name="Straight Arrow Connector 3"/>
        <xdr:cNvCxnSpPr/>
      </xdr:nvCxnSpPr>
      <xdr:spPr>
        <a:xfrm flipV="1">
          <a:off x="4754880" y="883920"/>
          <a:ext cx="784860" cy="8458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6</xdr:row>
      <xdr:rowOff>243840</xdr:rowOff>
    </xdr:from>
    <xdr:to>
      <xdr:col>14</xdr:col>
      <xdr:colOff>0</xdr:colOff>
      <xdr:row>7</xdr:row>
      <xdr:rowOff>7620</xdr:rowOff>
    </xdr:to>
    <xdr:cxnSp macro="">
      <xdr:nvCxnSpPr>
        <xdr:cNvPr id="5" name="Straight Arrow Connector 4"/>
        <xdr:cNvCxnSpPr/>
      </xdr:nvCxnSpPr>
      <xdr:spPr>
        <a:xfrm>
          <a:off x="4777740" y="1752600"/>
          <a:ext cx="76962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0</xdr:rowOff>
    </xdr:from>
    <xdr:to>
      <xdr:col>14</xdr:col>
      <xdr:colOff>22860</xdr:colOff>
      <xdr:row>11</xdr:row>
      <xdr:rowOff>7620</xdr:rowOff>
    </xdr:to>
    <xdr:cxnSp macro="">
      <xdr:nvCxnSpPr>
        <xdr:cNvPr id="6" name="Straight Arrow Connector 5"/>
        <xdr:cNvCxnSpPr/>
      </xdr:nvCxnSpPr>
      <xdr:spPr>
        <a:xfrm>
          <a:off x="4754880" y="1760220"/>
          <a:ext cx="815340" cy="10134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</xdr:colOff>
      <xdr:row>11</xdr:row>
      <xdr:rowOff>0</xdr:rowOff>
    </xdr:from>
    <xdr:to>
      <xdr:col>18</xdr:col>
      <xdr:colOff>381000</xdr:colOff>
      <xdr:row>11</xdr:row>
      <xdr:rowOff>7620</xdr:rowOff>
    </xdr:to>
    <xdr:cxnSp macro="">
      <xdr:nvCxnSpPr>
        <xdr:cNvPr id="7" name="Straight Arrow Connector 6"/>
        <xdr:cNvCxnSpPr/>
      </xdr:nvCxnSpPr>
      <xdr:spPr>
        <a:xfrm flipV="1">
          <a:off x="6751320" y="2766060"/>
          <a:ext cx="7620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</xdr:colOff>
      <xdr:row>6</xdr:row>
      <xdr:rowOff>236220</xdr:rowOff>
    </xdr:from>
    <xdr:to>
      <xdr:col>21</xdr:col>
      <xdr:colOff>381000</xdr:colOff>
      <xdr:row>6</xdr:row>
      <xdr:rowOff>243840</xdr:rowOff>
    </xdr:to>
    <xdr:cxnSp macro="">
      <xdr:nvCxnSpPr>
        <xdr:cNvPr id="8" name="Straight Arrow Connector 7"/>
        <xdr:cNvCxnSpPr/>
      </xdr:nvCxnSpPr>
      <xdr:spPr>
        <a:xfrm>
          <a:off x="6751320" y="1744980"/>
          <a:ext cx="195072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</xdr:row>
      <xdr:rowOff>7620</xdr:rowOff>
    </xdr:from>
    <xdr:to>
      <xdr:col>23</xdr:col>
      <xdr:colOff>205740</xdr:colOff>
      <xdr:row>11</xdr:row>
      <xdr:rowOff>0</xdr:rowOff>
    </xdr:to>
    <xdr:cxnSp macro="">
      <xdr:nvCxnSpPr>
        <xdr:cNvPr id="9" name="Straight Arrow Connector 8"/>
        <xdr:cNvCxnSpPr/>
      </xdr:nvCxnSpPr>
      <xdr:spPr>
        <a:xfrm flipV="1">
          <a:off x="8717280" y="2019300"/>
          <a:ext cx="601980" cy="7467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</xdr:colOff>
      <xdr:row>7</xdr:row>
      <xdr:rowOff>7620</xdr:rowOff>
    </xdr:from>
    <xdr:to>
      <xdr:col>25</xdr:col>
      <xdr:colOff>7620</xdr:colOff>
      <xdr:row>10</xdr:row>
      <xdr:rowOff>7620</xdr:rowOff>
    </xdr:to>
    <xdr:cxnSp macro="">
      <xdr:nvCxnSpPr>
        <xdr:cNvPr id="10" name="Straight Arrow Connector 9"/>
        <xdr:cNvCxnSpPr/>
      </xdr:nvCxnSpPr>
      <xdr:spPr>
        <a:xfrm>
          <a:off x="6743700" y="1767840"/>
          <a:ext cx="3169920" cy="7543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10</xdr:row>
      <xdr:rowOff>38100</xdr:rowOff>
    </xdr:from>
    <xdr:to>
      <xdr:col>25</xdr:col>
      <xdr:colOff>15240</xdr:colOff>
      <xdr:row>11</xdr:row>
      <xdr:rowOff>15240</xdr:rowOff>
    </xdr:to>
    <xdr:cxnSp macro="">
      <xdr:nvCxnSpPr>
        <xdr:cNvPr id="11" name="Straight Arrow Connector 10"/>
        <xdr:cNvCxnSpPr/>
      </xdr:nvCxnSpPr>
      <xdr:spPr>
        <a:xfrm flipV="1">
          <a:off x="8732520" y="2552700"/>
          <a:ext cx="1188720" cy="228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</xdr:colOff>
      <xdr:row>2</xdr:row>
      <xdr:rowOff>7620</xdr:rowOff>
    </xdr:from>
    <xdr:to>
      <xdr:col>21</xdr:col>
      <xdr:colOff>388620</xdr:colOff>
      <xdr:row>10</xdr:row>
      <xdr:rowOff>243840</xdr:rowOff>
    </xdr:to>
    <xdr:cxnSp macro="">
      <xdr:nvCxnSpPr>
        <xdr:cNvPr id="12" name="Straight Arrow Connector 11"/>
        <xdr:cNvCxnSpPr/>
      </xdr:nvCxnSpPr>
      <xdr:spPr>
        <a:xfrm flipV="1">
          <a:off x="6743700" y="510540"/>
          <a:ext cx="1965960" cy="22479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</xdr:colOff>
      <xdr:row>3</xdr:row>
      <xdr:rowOff>0</xdr:rowOff>
    </xdr:from>
    <xdr:to>
      <xdr:col>28</xdr:col>
      <xdr:colOff>7620</xdr:colOff>
      <xdr:row>4</xdr:row>
      <xdr:rowOff>243840</xdr:rowOff>
    </xdr:to>
    <xdr:cxnSp macro="">
      <xdr:nvCxnSpPr>
        <xdr:cNvPr id="13" name="Straight Arrow Connector 12"/>
        <xdr:cNvCxnSpPr/>
      </xdr:nvCxnSpPr>
      <xdr:spPr>
        <a:xfrm>
          <a:off x="6743700" y="754380"/>
          <a:ext cx="435864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15240</xdr:colOff>
      <xdr:row>5</xdr:row>
      <xdr:rowOff>30480</xdr:rowOff>
    </xdr:from>
    <xdr:to>
      <xdr:col>28</xdr:col>
      <xdr:colOff>15240</xdr:colOff>
      <xdr:row>6</xdr:row>
      <xdr:rowOff>243840</xdr:rowOff>
    </xdr:to>
    <xdr:cxnSp macro="">
      <xdr:nvCxnSpPr>
        <xdr:cNvPr id="14" name="Straight Arrow Connector 13"/>
        <xdr:cNvCxnSpPr/>
      </xdr:nvCxnSpPr>
      <xdr:spPr>
        <a:xfrm flipV="1">
          <a:off x="9921240" y="1287780"/>
          <a:ext cx="1188720" cy="4648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</xdr:colOff>
      <xdr:row>1</xdr:row>
      <xdr:rowOff>7620</xdr:rowOff>
    </xdr:from>
    <xdr:to>
      <xdr:col>28</xdr:col>
      <xdr:colOff>0</xdr:colOff>
      <xdr:row>4</xdr:row>
      <xdr:rowOff>205740</xdr:rowOff>
    </xdr:to>
    <xdr:cxnSp macro="">
      <xdr:nvCxnSpPr>
        <xdr:cNvPr id="15" name="Straight Arrow Connector 14"/>
        <xdr:cNvCxnSpPr/>
      </xdr:nvCxnSpPr>
      <xdr:spPr>
        <a:xfrm>
          <a:off x="9525000" y="259080"/>
          <a:ext cx="1569720" cy="952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7620</xdr:colOff>
      <xdr:row>5</xdr:row>
      <xdr:rowOff>0</xdr:rowOff>
    </xdr:from>
    <xdr:to>
      <xdr:col>33</xdr:col>
      <xdr:colOff>7620</xdr:colOff>
      <xdr:row>5</xdr:row>
      <xdr:rowOff>7620</xdr:rowOff>
    </xdr:to>
    <xdr:cxnSp macro="">
      <xdr:nvCxnSpPr>
        <xdr:cNvPr id="16" name="Straight Arrow Connector 15"/>
        <xdr:cNvCxnSpPr/>
      </xdr:nvCxnSpPr>
      <xdr:spPr>
        <a:xfrm>
          <a:off x="12291060" y="1257300"/>
          <a:ext cx="7924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22860</xdr:colOff>
      <xdr:row>5</xdr:row>
      <xdr:rowOff>38100</xdr:rowOff>
    </xdr:from>
    <xdr:to>
      <xdr:col>33</xdr:col>
      <xdr:colOff>0</xdr:colOff>
      <xdr:row>10</xdr:row>
      <xdr:rowOff>0</xdr:rowOff>
    </xdr:to>
    <xdr:cxnSp macro="">
      <xdr:nvCxnSpPr>
        <xdr:cNvPr id="17" name="Straight Arrow Connector 16"/>
        <xdr:cNvCxnSpPr/>
      </xdr:nvCxnSpPr>
      <xdr:spPr>
        <a:xfrm flipV="1">
          <a:off x="11117580" y="1295400"/>
          <a:ext cx="1958340" cy="1219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</xdr:colOff>
      <xdr:row>4</xdr:row>
      <xdr:rowOff>243840</xdr:rowOff>
    </xdr:from>
    <xdr:to>
      <xdr:col>37</xdr:col>
      <xdr:colOff>388620</xdr:colOff>
      <xdr:row>4</xdr:row>
      <xdr:rowOff>243840</xdr:rowOff>
    </xdr:to>
    <xdr:cxnSp macro="">
      <xdr:nvCxnSpPr>
        <xdr:cNvPr id="18" name="Straight Arrow Connector 17"/>
        <xdr:cNvCxnSpPr/>
      </xdr:nvCxnSpPr>
      <xdr:spPr>
        <a:xfrm>
          <a:off x="14279880" y="1249680"/>
          <a:ext cx="7696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388620</xdr:colOff>
      <xdr:row>7</xdr:row>
      <xdr:rowOff>68580</xdr:rowOff>
    </xdr:from>
    <xdr:to>
      <xdr:col>13</xdr:col>
      <xdr:colOff>381000</xdr:colOff>
      <xdr:row>11</xdr:row>
      <xdr:rowOff>53340</xdr:rowOff>
    </xdr:to>
    <xdr:cxnSp macro="">
      <xdr:nvCxnSpPr>
        <xdr:cNvPr id="19" name="Straight Arrow Connector 18"/>
        <xdr:cNvCxnSpPr/>
      </xdr:nvCxnSpPr>
      <xdr:spPr>
        <a:xfrm>
          <a:off x="4747260" y="1828800"/>
          <a:ext cx="784860" cy="9906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</xdr:colOff>
      <xdr:row>11</xdr:row>
      <xdr:rowOff>45720</xdr:rowOff>
    </xdr:from>
    <xdr:to>
      <xdr:col>18</xdr:col>
      <xdr:colOff>373380</xdr:colOff>
      <xdr:row>11</xdr:row>
      <xdr:rowOff>53340</xdr:rowOff>
    </xdr:to>
    <xdr:cxnSp macro="">
      <xdr:nvCxnSpPr>
        <xdr:cNvPr id="22" name="Straight Arrow Connector 21"/>
        <xdr:cNvCxnSpPr/>
      </xdr:nvCxnSpPr>
      <xdr:spPr>
        <a:xfrm flipV="1">
          <a:off x="6743700" y="2811780"/>
          <a:ext cx="7620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10</xdr:row>
      <xdr:rowOff>106680</xdr:rowOff>
    </xdr:from>
    <xdr:to>
      <xdr:col>25</xdr:col>
      <xdr:colOff>38100</xdr:colOff>
      <xdr:row>11</xdr:row>
      <xdr:rowOff>76200</xdr:rowOff>
    </xdr:to>
    <xdr:cxnSp macro="">
      <xdr:nvCxnSpPr>
        <xdr:cNvPr id="25" name="Straight Arrow Connector 24"/>
        <xdr:cNvCxnSpPr/>
      </xdr:nvCxnSpPr>
      <xdr:spPr>
        <a:xfrm flipV="1">
          <a:off x="8732520" y="2621280"/>
          <a:ext cx="1211580" cy="2209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38100</xdr:colOff>
      <xdr:row>5</xdr:row>
      <xdr:rowOff>99060</xdr:rowOff>
    </xdr:from>
    <xdr:to>
      <xdr:col>33</xdr:col>
      <xdr:colOff>15240</xdr:colOff>
      <xdr:row>10</xdr:row>
      <xdr:rowOff>68580</xdr:rowOff>
    </xdr:to>
    <xdr:cxnSp macro="">
      <xdr:nvCxnSpPr>
        <xdr:cNvPr id="28" name="Straight Arrow Connector 27"/>
        <xdr:cNvCxnSpPr/>
      </xdr:nvCxnSpPr>
      <xdr:spPr>
        <a:xfrm flipV="1">
          <a:off x="11132820" y="1356360"/>
          <a:ext cx="1958340" cy="12268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</xdr:colOff>
      <xdr:row>5</xdr:row>
      <xdr:rowOff>45720</xdr:rowOff>
    </xdr:from>
    <xdr:to>
      <xdr:col>38</xdr:col>
      <xdr:colOff>0</xdr:colOff>
      <xdr:row>5</xdr:row>
      <xdr:rowOff>53340</xdr:rowOff>
    </xdr:to>
    <xdr:cxnSp macro="">
      <xdr:nvCxnSpPr>
        <xdr:cNvPr id="32" name="Straight Arrow Connector 31"/>
        <xdr:cNvCxnSpPr/>
      </xdr:nvCxnSpPr>
      <xdr:spPr>
        <a:xfrm>
          <a:off x="14279880" y="1303020"/>
          <a:ext cx="77724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</xdr:row>
      <xdr:rowOff>15240</xdr:rowOff>
    </xdr:from>
    <xdr:to>
      <xdr:col>23</xdr:col>
      <xdr:colOff>114300</xdr:colOff>
      <xdr:row>10</xdr:row>
      <xdr:rowOff>175260</xdr:rowOff>
    </xdr:to>
    <xdr:cxnSp macro="">
      <xdr:nvCxnSpPr>
        <xdr:cNvPr id="36" name="Straight Arrow Connector 35"/>
        <xdr:cNvCxnSpPr/>
      </xdr:nvCxnSpPr>
      <xdr:spPr>
        <a:xfrm flipV="1">
          <a:off x="8717280" y="2026920"/>
          <a:ext cx="510540" cy="6629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5</xdr:row>
      <xdr:rowOff>121920</xdr:rowOff>
    </xdr:from>
    <xdr:to>
      <xdr:col>27</xdr:col>
      <xdr:colOff>388620</xdr:colOff>
      <xdr:row>7</xdr:row>
      <xdr:rowOff>45720</xdr:rowOff>
    </xdr:to>
    <xdr:cxnSp macro="">
      <xdr:nvCxnSpPr>
        <xdr:cNvPr id="40" name="Straight Arrow Connector 39"/>
        <xdr:cNvCxnSpPr/>
      </xdr:nvCxnSpPr>
      <xdr:spPr>
        <a:xfrm flipV="1">
          <a:off x="9906000" y="1379220"/>
          <a:ext cx="1181100" cy="4267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4</xdr:row>
      <xdr:rowOff>213360</xdr:rowOff>
    </xdr:from>
    <xdr:to>
      <xdr:col>33</xdr:col>
      <xdr:colOff>0</xdr:colOff>
      <xdr:row>4</xdr:row>
      <xdr:rowOff>213360</xdr:rowOff>
    </xdr:to>
    <xdr:cxnSp macro="">
      <xdr:nvCxnSpPr>
        <xdr:cNvPr id="45" name="Straight Arrow Connector 44"/>
        <xdr:cNvCxnSpPr/>
      </xdr:nvCxnSpPr>
      <xdr:spPr>
        <a:xfrm>
          <a:off x="12283440" y="1219200"/>
          <a:ext cx="7924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O13" sqref="O13"/>
    </sheetView>
  </sheetViews>
  <sheetFormatPr defaultRowHeight="14.4" x14ac:dyDescent="0.3"/>
  <sheetData>
    <row r="1" spans="1:16" ht="16.8" x14ac:dyDescent="0.3">
      <c r="A1" s="2"/>
      <c r="E1" t="s">
        <v>10</v>
      </c>
    </row>
    <row r="2" spans="1:16" x14ac:dyDescent="0.3">
      <c r="A2" t="s">
        <v>0</v>
      </c>
      <c r="C2">
        <v>3</v>
      </c>
      <c r="D2">
        <v>0</v>
      </c>
    </row>
    <row r="3" spans="1:16" x14ac:dyDescent="0.3">
      <c r="A3" t="s">
        <v>1</v>
      </c>
      <c r="B3" t="s">
        <v>0</v>
      </c>
      <c r="C3">
        <v>4</v>
      </c>
      <c r="D3">
        <v>2</v>
      </c>
      <c r="E3">
        <v>10</v>
      </c>
    </row>
    <row r="4" spans="1:16" x14ac:dyDescent="0.3">
      <c r="A4" t="s">
        <v>2</v>
      </c>
      <c r="B4" t="s">
        <v>0</v>
      </c>
      <c r="C4">
        <v>5</v>
      </c>
      <c r="D4">
        <v>1</v>
      </c>
      <c r="E4">
        <v>50</v>
      </c>
    </row>
    <row r="5" spans="1:16" x14ac:dyDescent="0.3">
      <c r="A5" t="s">
        <v>3</v>
      </c>
      <c r="B5" t="s">
        <v>1</v>
      </c>
      <c r="C5">
        <v>11</v>
      </c>
      <c r="D5">
        <v>4</v>
      </c>
      <c r="E5">
        <v>20</v>
      </c>
    </row>
    <row r="6" spans="1:16" x14ac:dyDescent="0.3">
      <c r="A6" t="s">
        <v>4</v>
      </c>
      <c r="B6" t="s">
        <v>2</v>
      </c>
      <c r="C6">
        <v>10</v>
      </c>
      <c r="D6">
        <v>4</v>
      </c>
      <c r="E6">
        <v>60</v>
      </c>
      <c r="P6" s="1"/>
    </row>
    <row r="7" spans="1:16" x14ac:dyDescent="0.3">
      <c r="A7" t="s">
        <v>5</v>
      </c>
      <c r="B7" t="s">
        <v>2</v>
      </c>
      <c r="C7">
        <v>8</v>
      </c>
      <c r="D7">
        <v>2</v>
      </c>
      <c r="E7">
        <v>40</v>
      </c>
      <c r="P7" s="1"/>
    </row>
    <row r="8" spans="1:16" x14ac:dyDescent="0.3">
      <c r="A8" t="s">
        <v>6</v>
      </c>
      <c r="B8" t="s">
        <v>8</v>
      </c>
      <c r="C8">
        <v>9</v>
      </c>
      <c r="D8">
        <v>4</v>
      </c>
      <c r="E8">
        <v>150</v>
      </c>
      <c r="P8" s="1"/>
    </row>
    <row r="9" spans="1:16" x14ac:dyDescent="0.3">
      <c r="A9" t="s">
        <v>7</v>
      </c>
      <c r="B9" t="s">
        <v>9</v>
      </c>
      <c r="C9">
        <v>7</v>
      </c>
      <c r="D9">
        <v>3</v>
      </c>
      <c r="E9">
        <v>30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6"/>
  <sheetViews>
    <sheetView workbookViewId="0">
      <selection activeCell="R5" sqref="R5"/>
    </sheetView>
  </sheetViews>
  <sheetFormatPr defaultColWidth="5.77734375" defaultRowHeight="19.95" customHeight="1" x14ac:dyDescent="0.3"/>
  <cols>
    <col min="1" max="16384" width="5.77734375" style="5"/>
  </cols>
  <sheetData>
    <row r="1" spans="1:38" ht="19.95" customHeight="1" x14ac:dyDescent="0.3">
      <c r="A1" s="3"/>
      <c r="B1" s="4"/>
      <c r="C1" s="4"/>
      <c r="D1" s="4"/>
      <c r="E1" s="4" t="s">
        <v>10</v>
      </c>
    </row>
    <row r="2" spans="1:38" ht="19.95" customHeight="1" x14ac:dyDescent="0.3">
      <c r="A2" s="4" t="s">
        <v>0</v>
      </c>
      <c r="B2" s="4"/>
      <c r="C2" s="4">
        <v>3</v>
      </c>
      <c r="D2" s="4">
        <v>0</v>
      </c>
      <c r="E2" s="4"/>
    </row>
    <row r="3" spans="1:38" ht="19.95" customHeight="1" thickBot="1" x14ac:dyDescent="0.35">
      <c r="A3" s="4" t="s">
        <v>1</v>
      </c>
      <c r="B3" s="4" t="s">
        <v>0</v>
      </c>
      <c r="C3" s="4">
        <v>4</v>
      </c>
      <c r="D3" s="4">
        <v>2</v>
      </c>
      <c r="E3" s="4">
        <v>10</v>
      </c>
    </row>
    <row r="4" spans="1:38" ht="19.95" customHeight="1" thickBot="1" x14ac:dyDescent="0.35">
      <c r="A4" s="4" t="s">
        <v>2</v>
      </c>
      <c r="B4" s="4" t="s">
        <v>0</v>
      </c>
      <c r="C4" s="4">
        <v>5</v>
      </c>
      <c r="D4" s="4">
        <v>1</v>
      </c>
      <c r="E4" s="4">
        <v>50</v>
      </c>
      <c r="Q4" s="6">
        <f>MAX(O8)</f>
        <v>3</v>
      </c>
      <c r="R4" s="7" t="s">
        <v>1</v>
      </c>
      <c r="S4" s="8">
        <f>Q4+R5</f>
        <v>7</v>
      </c>
      <c r="V4" s="6">
        <f>MAX(S4)</f>
        <v>7</v>
      </c>
      <c r="W4" s="7" t="s">
        <v>3</v>
      </c>
      <c r="X4" s="8">
        <f>V4+W5</f>
        <v>18</v>
      </c>
    </row>
    <row r="5" spans="1:38" ht="19.95" customHeight="1" thickBot="1" x14ac:dyDescent="0.35">
      <c r="A5" s="4" t="s">
        <v>3</v>
      </c>
      <c r="B5" s="4" t="s">
        <v>1</v>
      </c>
      <c r="C5" s="4">
        <v>11</v>
      </c>
      <c r="D5" s="4">
        <v>4</v>
      </c>
      <c r="E5" s="4">
        <v>20</v>
      </c>
      <c r="Q5" s="9">
        <f>S5-R5</f>
        <v>12</v>
      </c>
      <c r="R5" s="10">
        <v>4</v>
      </c>
      <c r="S5" s="11">
        <f>MIN(V5)</f>
        <v>16</v>
      </c>
      <c r="V5" s="9">
        <f>X5-W5</f>
        <v>16</v>
      </c>
      <c r="W5" s="10">
        <v>11</v>
      </c>
      <c r="X5" s="11">
        <f>MAX(AE8)</f>
        <v>27</v>
      </c>
    </row>
    <row r="6" spans="1:38" ht="19.95" customHeight="1" thickBot="1" x14ac:dyDescent="0.35">
      <c r="A6" s="4" t="s">
        <v>4</v>
      </c>
      <c r="B6" s="4" t="s">
        <v>2</v>
      </c>
      <c r="C6" s="4">
        <v>10</v>
      </c>
      <c r="D6" s="4">
        <v>4</v>
      </c>
      <c r="E6" s="4">
        <v>60</v>
      </c>
    </row>
    <row r="7" spans="1:38" ht="19.95" customHeight="1" thickBot="1" x14ac:dyDescent="0.35">
      <c r="A7" s="4" t="s">
        <v>5</v>
      </c>
      <c r="B7" s="4" t="s">
        <v>2</v>
      </c>
      <c r="C7" s="4">
        <v>8</v>
      </c>
      <c r="D7" s="4">
        <v>2</v>
      </c>
      <c r="E7" s="4">
        <v>40</v>
      </c>
      <c r="AE7" s="6">
        <f>MAX(X4,AC12)</f>
        <v>27</v>
      </c>
      <c r="AF7" s="7" t="s">
        <v>7</v>
      </c>
      <c r="AG7" s="8">
        <f>AE7+AF8</f>
        <v>34</v>
      </c>
      <c r="AJ7" s="6">
        <f>MAX(AG7)</f>
        <v>34</v>
      </c>
      <c r="AK7" s="7" t="s">
        <v>12</v>
      </c>
      <c r="AL7" s="8">
        <f>AJ7+AK8</f>
        <v>34</v>
      </c>
    </row>
    <row r="8" spans="1:38" ht="19.95" customHeight="1" thickBot="1" x14ac:dyDescent="0.35">
      <c r="A8" s="4" t="s">
        <v>6</v>
      </c>
      <c r="B8" s="4" t="s">
        <v>8</v>
      </c>
      <c r="C8" s="4">
        <v>9</v>
      </c>
      <c r="D8" s="4">
        <v>4</v>
      </c>
      <c r="E8" s="4">
        <v>150</v>
      </c>
      <c r="H8" s="6">
        <v>0</v>
      </c>
      <c r="I8" s="7" t="s">
        <v>11</v>
      </c>
      <c r="J8" s="8">
        <f>H8+I9</f>
        <v>0</v>
      </c>
      <c r="M8" s="6">
        <f>MAX(J8)</f>
        <v>0</v>
      </c>
      <c r="N8" s="7" t="s">
        <v>0</v>
      </c>
      <c r="O8" s="8">
        <f>M8+N9</f>
        <v>3</v>
      </c>
      <c r="AE8" s="9">
        <f>AG8-AF8</f>
        <v>27</v>
      </c>
      <c r="AF8" s="10">
        <v>7</v>
      </c>
      <c r="AG8" s="11">
        <f>MIN(AJ8)</f>
        <v>34</v>
      </c>
      <c r="AJ8" s="9">
        <f>AL8-AK8</f>
        <v>34</v>
      </c>
      <c r="AK8" s="10">
        <v>0</v>
      </c>
      <c r="AL8" s="11">
        <f>AL7</f>
        <v>34</v>
      </c>
    </row>
    <row r="9" spans="1:38" ht="19.95" customHeight="1" thickBot="1" x14ac:dyDescent="0.35">
      <c r="A9" s="4" t="s">
        <v>7</v>
      </c>
      <c r="B9" s="4" t="s">
        <v>9</v>
      </c>
      <c r="C9" s="4">
        <v>7</v>
      </c>
      <c r="D9" s="4">
        <v>3</v>
      </c>
      <c r="E9" s="4">
        <v>30</v>
      </c>
      <c r="H9" s="9">
        <f>J9-I9</f>
        <v>0</v>
      </c>
      <c r="I9" s="10">
        <v>0</v>
      </c>
      <c r="J9" s="11">
        <f>MIN(M9)</f>
        <v>0</v>
      </c>
      <c r="M9" s="9">
        <f>O9-N9</f>
        <v>0</v>
      </c>
      <c r="N9" s="10">
        <v>3</v>
      </c>
      <c r="O9" s="11">
        <f>MIN(Q13)</f>
        <v>3</v>
      </c>
      <c r="V9" s="6">
        <f>MAX(S12)</f>
        <v>8</v>
      </c>
      <c r="W9" s="7" t="s">
        <v>4</v>
      </c>
      <c r="X9" s="8">
        <f>V9+W10</f>
        <v>18</v>
      </c>
    </row>
    <row r="10" spans="1:38" ht="19.95" customHeight="1" thickBot="1" x14ac:dyDescent="0.35">
      <c r="V10" s="9">
        <f>X10-W10</f>
        <v>8</v>
      </c>
      <c r="W10" s="10">
        <v>10</v>
      </c>
      <c r="X10" s="11">
        <f>MIN(AA13)</f>
        <v>18</v>
      </c>
    </row>
    <row r="11" spans="1:38" ht="19.95" customHeight="1" thickBot="1" x14ac:dyDescent="0.35"/>
    <row r="12" spans="1:38" ht="19.95" customHeight="1" thickBot="1" x14ac:dyDescent="0.35">
      <c r="Q12" s="6">
        <f>MAX(O8)</f>
        <v>3</v>
      </c>
      <c r="R12" s="7" t="s">
        <v>2</v>
      </c>
      <c r="S12" s="8">
        <f>Q12+R13</f>
        <v>8</v>
      </c>
      <c r="AA12" s="6">
        <f>MAX(X9,X15)</f>
        <v>18</v>
      </c>
      <c r="AB12" s="7" t="s">
        <v>6</v>
      </c>
      <c r="AC12" s="8">
        <f>AA12+AB13</f>
        <v>27</v>
      </c>
    </row>
    <row r="13" spans="1:38" ht="19.95" customHeight="1" thickBot="1" x14ac:dyDescent="0.35">
      <c r="Q13" s="9">
        <f>S13-R13</f>
        <v>3</v>
      </c>
      <c r="R13" s="10">
        <v>5</v>
      </c>
      <c r="S13" s="11">
        <f>MIN(V16,V10)</f>
        <v>8</v>
      </c>
      <c r="AA13" s="9">
        <f>AC13-AB13</f>
        <v>18</v>
      </c>
      <c r="AB13" s="10">
        <v>9</v>
      </c>
      <c r="AC13" s="11">
        <f>MIN(AE8)</f>
        <v>27</v>
      </c>
    </row>
    <row r="14" spans="1:38" ht="19.95" customHeight="1" thickBot="1" x14ac:dyDescent="0.35"/>
    <row r="15" spans="1:38" ht="19.95" customHeight="1" thickBot="1" x14ac:dyDescent="0.35">
      <c r="V15" s="6">
        <f>MAX(S12)</f>
        <v>8</v>
      </c>
      <c r="W15" s="7" t="s">
        <v>5</v>
      </c>
      <c r="X15" s="8">
        <f>V15+W16</f>
        <v>16</v>
      </c>
    </row>
    <row r="16" spans="1:38" ht="19.95" customHeight="1" thickBot="1" x14ac:dyDescent="0.35">
      <c r="V16" s="9">
        <f>X16-W16</f>
        <v>10</v>
      </c>
      <c r="W16" s="10">
        <v>8</v>
      </c>
      <c r="X16" s="11">
        <f>MIN(AA13)</f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4"/>
  <sheetViews>
    <sheetView workbookViewId="0">
      <selection activeCell="R13" sqref="R13"/>
    </sheetView>
  </sheetViews>
  <sheetFormatPr defaultColWidth="5.77734375" defaultRowHeight="19.95" customHeight="1" x14ac:dyDescent="0.3"/>
  <cols>
    <col min="1" max="1" width="5.77734375" style="5"/>
    <col min="2" max="2" width="5.77734375" style="5" customWidth="1"/>
    <col min="3" max="10" width="5.77734375" style="5"/>
    <col min="11" max="11" width="7.77734375" style="5" bestFit="1" customWidth="1"/>
    <col min="12" max="16384" width="5.77734375" style="5"/>
  </cols>
  <sheetData>
    <row r="1" spans="1:38" ht="19.95" customHeight="1" x14ac:dyDescent="0.3">
      <c r="A1" s="3"/>
      <c r="B1" s="4"/>
      <c r="C1" s="4"/>
      <c r="D1" s="4"/>
      <c r="E1" s="4" t="s">
        <v>10</v>
      </c>
    </row>
    <row r="2" spans="1:38" ht="19.95" customHeight="1" x14ac:dyDescent="0.3">
      <c r="A2" s="4" t="s">
        <v>0</v>
      </c>
      <c r="B2" s="4"/>
      <c r="C2" s="4">
        <v>3</v>
      </c>
      <c r="D2" s="4">
        <v>0</v>
      </c>
      <c r="E2" s="4"/>
    </row>
    <row r="3" spans="1:38" ht="19.95" customHeight="1" thickBot="1" x14ac:dyDescent="0.35">
      <c r="A3" s="4" t="s">
        <v>1</v>
      </c>
      <c r="B3" s="4" t="s">
        <v>0</v>
      </c>
      <c r="C3" s="4">
        <v>4</v>
      </c>
      <c r="D3" s="4">
        <v>2</v>
      </c>
      <c r="E3" s="4">
        <v>10</v>
      </c>
    </row>
    <row r="4" spans="1:38" ht="19.95" customHeight="1" thickBot="1" x14ac:dyDescent="0.35">
      <c r="A4" s="4" t="s">
        <v>2</v>
      </c>
      <c r="B4" s="4" t="s">
        <v>0</v>
      </c>
      <c r="C4" s="4">
        <v>5</v>
      </c>
      <c r="D4" s="4">
        <v>1</v>
      </c>
      <c r="E4" s="4">
        <v>50</v>
      </c>
      <c r="Q4" s="6">
        <f>MAX(O8)</f>
        <v>3</v>
      </c>
      <c r="R4" s="7" t="s">
        <v>1</v>
      </c>
      <c r="S4" s="8">
        <f>Q4+R5</f>
        <v>7</v>
      </c>
      <c r="V4" s="6">
        <f>MAX(S4)</f>
        <v>7</v>
      </c>
      <c r="W4" s="7" t="s">
        <v>3</v>
      </c>
      <c r="X4" s="8">
        <f>V4+W5</f>
        <v>18</v>
      </c>
    </row>
    <row r="5" spans="1:38" ht="19.95" customHeight="1" thickBot="1" x14ac:dyDescent="0.35">
      <c r="A5" s="4" t="s">
        <v>3</v>
      </c>
      <c r="B5" s="4" t="s">
        <v>1</v>
      </c>
      <c r="C5" s="4">
        <v>11</v>
      </c>
      <c r="D5" s="4">
        <v>4</v>
      </c>
      <c r="E5" s="4">
        <v>20</v>
      </c>
      <c r="Q5" s="9">
        <f>S5-R5</f>
        <v>7</v>
      </c>
      <c r="R5" s="10">
        <v>4</v>
      </c>
      <c r="S5" s="11">
        <f>MIN(V5)</f>
        <v>11</v>
      </c>
      <c r="V5" s="9">
        <f>X5-W5</f>
        <v>11</v>
      </c>
      <c r="W5" s="10">
        <v>11</v>
      </c>
      <c r="X5" s="11">
        <f>MAX(AE8)</f>
        <v>22</v>
      </c>
    </row>
    <row r="6" spans="1:38" ht="19.95" customHeight="1" thickBot="1" x14ac:dyDescent="0.35">
      <c r="A6" s="4" t="s">
        <v>4</v>
      </c>
      <c r="B6" s="4" t="s">
        <v>2</v>
      </c>
      <c r="C6" s="4">
        <v>10</v>
      </c>
      <c r="D6" s="4">
        <v>4</v>
      </c>
      <c r="E6" s="4">
        <v>60</v>
      </c>
    </row>
    <row r="7" spans="1:38" ht="19.95" customHeight="1" thickBot="1" x14ac:dyDescent="0.35">
      <c r="A7" s="4" t="s">
        <v>5</v>
      </c>
      <c r="B7" s="4" t="s">
        <v>2</v>
      </c>
      <c r="C7" s="4">
        <v>8</v>
      </c>
      <c r="D7" s="4">
        <v>2</v>
      </c>
      <c r="E7" s="4">
        <v>40</v>
      </c>
      <c r="AE7" s="6">
        <f>MAX(X4,AC12)</f>
        <v>22</v>
      </c>
      <c r="AF7" s="7" t="s">
        <v>7</v>
      </c>
      <c r="AG7" s="8">
        <f>AE7+AF8</f>
        <v>26</v>
      </c>
      <c r="AJ7" s="6">
        <f>MAX(AG7)</f>
        <v>26</v>
      </c>
      <c r="AK7" s="7" t="s">
        <v>12</v>
      </c>
      <c r="AL7" s="8">
        <f>AJ7+AK8</f>
        <v>26</v>
      </c>
    </row>
    <row r="8" spans="1:38" ht="19.95" customHeight="1" thickBot="1" x14ac:dyDescent="0.35">
      <c r="A8" s="4" t="s">
        <v>6</v>
      </c>
      <c r="B8" s="4" t="s">
        <v>8</v>
      </c>
      <c r="C8" s="4">
        <v>9</v>
      </c>
      <c r="D8" s="4">
        <v>4</v>
      </c>
      <c r="E8" s="4">
        <v>150</v>
      </c>
      <c r="H8" s="6">
        <v>0</v>
      </c>
      <c r="I8" s="7" t="s">
        <v>11</v>
      </c>
      <c r="J8" s="8">
        <f>H8+I9</f>
        <v>0</v>
      </c>
      <c r="M8" s="6">
        <f>MAX(J8)</f>
        <v>0</v>
      </c>
      <c r="N8" s="7" t="s">
        <v>0</v>
      </c>
      <c r="O8" s="8">
        <f>M8+N9</f>
        <v>3</v>
      </c>
      <c r="AE8" s="9">
        <f>AG8-AF8</f>
        <v>22</v>
      </c>
      <c r="AF8" s="10">
        <v>4</v>
      </c>
      <c r="AG8" s="11">
        <f>MIN(AJ8)</f>
        <v>26</v>
      </c>
      <c r="AJ8" s="9">
        <f>AL8-AK8</f>
        <v>26</v>
      </c>
      <c r="AK8" s="10">
        <v>0</v>
      </c>
      <c r="AL8" s="11">
        <f>AL7</f>
        <v>26</v>
      </c>
    </row>
    <row r="9" spans="1:38" ht="19.95" customHeight="1" thickBot="1" x14ac:dyDescent="0.35">
      <c r="A9" s="4" t="s">
        <v>7</v>
      </c>
      <c r="B9" s="4" t="s">
        <v>9</v>
      </c>
      <c r="C9" s="4">
        <v>7</v>
      </c>
      <c r="D9" s="4">
        <v>3</v>
      </c>
      <c r="E9" s="4">
        <v>30</v>
      </c>
      <c r="H9" s="9">
        <f>J9-I9</f>
        <v>0</v>
      </c>
      <c r="I9" s="10">
        <v>0</v>
      </c>
      <c r="J9" s="11">
        <f>MIN(M9)</f>
        <v>0</v>
      </c>
      <c r="M9" s="9">
        <f>O9-N9</f>
        <v>0</v>
      </c>
      <c r="N9" s="10">
        <v>3</v>
      </c>
      <c r="O9" s="11">
        <f>MIN(Q13,Q5)</f>
        <v>3</v>
      </c>
      <c r="V9" s="6">
        <f>MAX(S12)</f>
        <v>7</v>
      </c>
      <c r="W9" s="7" t="s">
        <v>4</v>
      </c>
      <c r="X9" s="8">
        <f>V9+W10</f>
        <v>13</v>
      </c>
    </row>
    <row r="10" spans="1:38" ht="19.95" customHeight="1" thickBot="1" x14ac:dyDescent="0.35">
      <c r="V10" s="9">
        <f>X10-W10</f>
        <v>7</v>
      </c>
      <c r="W10" s="10">
        <v>6</v>
      </c>
      <c r="X10" s="11">
        <f>MIN(AA13)</f>
        <v>13</v>
      </c>
    </row>
    <row r="11" spans="1:38" ht="19.95" customHeight="1" thickBot="1" x14ac:dyDescent="0.35"/>
    <row r="12" spans="1:38" ht="19.95" customHeight="1" thickBot="1" x14ac:dyDescent="0.35">
      <c r="Q12" s="6">
        <f>MAX(O8)</f>
        <v>3</v>
      </c>
      <c r="R12" s="7" t="s">
        <v>2</v>
      </c>
      <c r="S12" s="8">
        <f>Q12+R13</f>
        <v>7</v>
      </c>
      <c r="AA12" s="6">
        <f>MAX(X9,X15)</f>
        <v>13</v>
      </c>
      <c r="AB12" s="7" t="s">
        <v>6</v>
      </c>
      <c r="AC12" s="8">
        <f>AA12+AB13</f>
        <v>22</v>
      </c>
    </row>
    <row r="13" spans="1:38" ht="19.95" customHeight="1" thickBot="1" x14ac:dyDescent="0.35">
      <c r="Q13" s="9">
        <f>S13-R13</f>
        <v>3</v>
      </c>
      <c r="R13" s="10">
        <v>4</v>
      </c>
      <c r="S13" s="11">
        <f>MIN(V16,V10)</f>
        <v>7</v>
      </c>
      <c r="AA13" s="9">
        <f>AC13-AB13</f>
        <v>13</v>
      </c>
      <c r="AB13" s="10">
        <v>9</v>
      </c>
      <c r="AC13" s="11">
        <f>MIN(AE8)</f>
        <v>22</v>
      </c>
    </row>
    <row r="14" spans="1:38" ht="36" customHeight="1" thickBot="1" x14ac:dyDescent="0.4">
      <c r="C14" s="12" t="s">
        <v>13</v>
      </c>
      <c r="D14" s="41" t="s">
        <v>14</v>
      </c>
      <c r="E14" s="42"/>
      <c r="F14" s="41" t="s">
        <v>15</v>
      </c>
      <c r="G14" s="42"/>
      <c r="H14" s="41" t="s">
        <v>16</v>
      </c>
      <c r="I14" s="42"/>
    </row>
    <row r="15" spans="1:38" ht="19.95" customHeight="1" thickBot="1" x14ac:dyDescent="0.4">
      <c r="C15" s="13">
        <v>1</v>
      </c>
      <c r="D15" s="14" t="s">
        <v>7</v>
      </c>
      <c r="E15" s="15"/>
      <c r="F15" s="14">
        <v>3</v>
      </c>
      <c r="G15" s="15"/>
      <c r="H15" s="14">
        <f>F15*R16</f>
        <v>90</v>
      </c>
      <c r="I15" s="15"/>
      <c r="K15" s="5" t="s">
        <v>22</v>
      </c>
      <c r="M15" s="5">
        <v>1</v>
      </c>
      <c r="N15" s="16" t="s">
        <v>0</v>
      </c>
      <c r="O15" s="5" t="s">
        <v>2</v>
      </c>
      <c r="P15" s="5" t="s">
        <v>4</v>
      </c>
      <c r="Q15" s="5" t="s">
        <v>6</v>
      </c>
      <c r="R15" s="17" t="s">
        <v>7</v>
      </c>
      <c r="V15" s="6">
        <f>MAX(S12)</f>
        <v>7</v>
      </c>
      <c r="W15" s="7" t="s">
        <v>5</v>
      </c>
      <c r="X15" s="8">
        <f>V15+W16</f>
        <v>13</v>
      </c>
    </row>
    <row r="16" spans="1:38" ht="19.95" customHeight="1" thickBot="1" x14ac:dyDescent="0.4">
      <c r="C16" s="13">
        <v>2</v>
      </c>
      <c r="D16" s="14" t="s">
        <v>2</v>
      </c>
      <c r="E16" s="15"/>
      <c r="F16" s="14">
        <v>1</v>
      </c>
      <c r="G16" s="15"/>
      <c r="H16" s="14">
        <f>F16*N18</f>
        <v>50</v>
      </c>
      <c r="I16" s="15"/>
      <c r="K16" s="5" t="s">
        <v>23</v>
      </c>
      <c r="O16" s="5">
        <v>50</v>
      </c>
      <c r="P16" s="5">
        <v>60</v>
      </c>
      <c r="Q16" s="5">
        <v>150</v>
      </c>
      <c r="R16" s="17">
        <v>30</v>
      </c>
      <c r="V16" s="9">
        <f>X16-W16</f>
        <v>7</v>
      </c>
      <c r="W16" s="10">
        <v>6</v>
      </c>
      <c r="X16" s="11">
        <f>MIN(AA13)</f>
        <v>13</v>
      </c>
    </row>
    <row r="17" spans="3:20" ht="19.95" customHeight="1" thickBot="1" x14ac:dyDescent="0.4">
      <c r="C17" s="13">
        <v>3</v>
      </c>
      <c r="D17" s="14" t="s">
        <v>4</v>
      </c>
      <c r="E17" s="15"/>
      <c r="F17" s="14">
        <v>2</v>
      </c>
      <c r="G17" s="15"/>
      <c r="H17" s="14">
        <f>N20*F17</f>
        <v>120</v>
      </c>
      <c r="I17" s="15"/>
      <c r="K17" s="5" t="s">
        <v>21</v>
      </c>
      <c r="M17" s="5">
        <v>2</v>
      </c>
      <c r="N17" s="17" t="s">
        <v>2</v>
      </c>
      <c r="O17" s="5" t="s">
        <v>4</v>
      </c>
      <c r="P17" s="5" t="s">
        <v>6</v>
      </c>
    </row>
    <row r="18" spans="3:20" ht="19.95" customHeight="1" thickBot="1" x14ac:dyDescent="0.4">
      <c r="C18" s="13">
        <v>4</v>
      </c>
      <c r="D18" s="14" t="s">
        <v>20</v>
      </c>
      <c r="E18" s="15"/>
      <c r="F18" s="14">
        <v>2</v>
      </c>
      <c r="G18" s="15"/>
      <c r="H18" s="14">
        <f>N24*F18</f>
        <v>200</v>
      </c>
      <c r="I18" s="15"/>
      <c r="K18" s="5" t="s">
        <v>24</v>
      </c>
      <c r="N18" s="17">
        <v>50</v>
      </c>
      <c r="O18" s="5">
        <v>60</v>
      </c>
      <c r="P18" s="5">
        <v>150</v>
      </c>
      <c r="T18" s="5" t="s">
        <v>18</v>
      </c>
    </row>
    <row r="19" spans="3:20" ht="19.95" customHeight="1" thickBot="1" x14ac:dyDescent="0.4">
      <c r="C19" s="41" t="s">
        <v>17</v>
      </c>
      <c r="D19" s="43"/>
      <c r="E19" s="42"/>
      <c r="F19" s="41">
        <f>SUM(F15:G18)</f>
        <v>8</v>
      </c>
      <c r="G19" s="42"/>
      <c r="H19" s="41">
        <f>SUM(H15:I18)</f>
        <v>460</v>
      </c>
      <c r="I19" s="42"/>
      <c r="M19" s="5">
        <v>3</v>
      </c>
      <c r="N19" s="17" t="s">
        <v>4</v>
      </c>
      <c r="O19" s="5" t="s">
        <v>6</v>
      </c>
      <c r="T19" s="5" t="s">
        <v>19</v>
      </c>
    </row>
    <row r="20" spans="3:20" ht="19.95" customHeight="1" x14ac:dyDescent="0.3">
      <c r="N20" s="17">
        <v>60</v>
      </c>
      <c r="O20" s="5">
        <v>150</v>
      </c>
    </row>
    <row r="21" spans="3:20" ht="19.95" customHeight="1" x14ac:dyDescent="0.3">
      <c r="N21" s="17" t="s">
        <v>0</v>
      </c>
      <c r="O21" s="17" t="s">
        <v>2</v>
      </c>
      <c r="P21" s="5" t="s">
        <v>5</v>
      </c>
      <c r="Q21" s="5" t="s">
        <v>6</v>
      </c>
      <c r="R21" s="17" t="s">
        <v>7</v>
      </c>
    </row>
    <row r="22" spans="3:20" ht="19.95" customHeight="1" x14ac:dyDescent="0.3">
      <c r="N22" s="17" t="s">
        <v>0</v>
      </c>
      <c r="O22" s="17" t="s">
        <v>2</v>
      </c>
      <c r="P22" s="5" t="s">
        <v>4</v>
      </c>
      <c r="Q22" s="5" t="s">
        <v>6</v>
      </c>
      <c r="R22" s="17" t="s">
        <v>7</v>
      </c>
    </row>
    <row r="23" spans="3:20" ht="19.95" customHeight="1" x14ac:dyDescent="0.3">
      <c r="M23" s="5">
        <v>4</v>
      </c>
      <c r="N23" s="17" t="s">
        <v>20</v>
      </c>
      <c r="O23" s="5" t="s">
        <v>6</v>
      </c>
    </row>
    <row r="24" spans="3:20" ht="19.95" customHeight="1" x14ac:dyDescent="0.3">
      <c r="N24" s="17">
        <v>100</v>
      </c>
      <c r="O24" s="5">
        <v>150</v>
      </c>
    </row>
  </sheetData>
  <mergeCells count="6">
    <mergeCell ref="D14:E14"/>
    <mergeCell ref="F14:G14"/>
    <mergeCell ref="H14:I14"/>
    <mergeCell ref="C19:E19"/>
    <mergeCell ref="F19:G19"/>
    <mergeCell ref="H19:I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8" sqref="P8"/>
    </sheetView>
  </sheetViews>
  <sheetFormatPr defaultRowHeight="14.4" x14ac:dyDescent="0.3"/>
  <cols>
    <col min="1" max="16384" width="8.88671875" style="18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I29"/>
  <sheetViews>
    <sheetView topLeftCell="A19" workbookViewId="0">
      <selection activeCell="W18" sqref="W18"/>
    </sheetView>
  </sheetViews>
  <sheetFormatPr defaultColWidth="6.77734375" defaultRowHeight="19.95" customHeight="1" x14ac:dyDescent="0.3"/>
  <cols>
    <col min="1" max="14" width="6.77734375" style="5"/>
    <col min="15" max="15" width="8" style="5" bestFit="1" customWidth="1"/>
    <col min="16" max="16384" width="6.77734375" style="5"/>
  </cols>
  <sheetData>
    <row r="6" spans="4:35" ht="19.95" customHeight="1" x14ac:dyDescent="0.3">
      <c r="R6" s="23">
        <f>MAX(O8)</f>
        <v>6</v>
      </c>
      <c r="S6" s="24" t="s">
        <v>3</v>
      </c>
      <c r="T6" s="23">
        <f>R6+S7</f>
        <v>16</v>
      </c>
    </row>
    <row r="7" spans="4:35" ht="19.95" customHeight="1" x14ac:dyDescent="0.3">
      <c r="R7" s="25">
        <f>T7-S7</f>
        <v>6</v>
      </c>
      <c r="S7" s="24">
        <v>10</v>
      </c>
      <c r="T7" s="25">
        <f>MIN(AB8)</f>
        <v>16</v>
      </c>
      <c r="AB7" s="23">
        <f>MAX(T6,Z13)</f>
        <v>16</v>
      </c>
      <c r="AC7" s="24" t="s">
        <v>7</v>
      </c>
      <c r="AD7" s="23">
        <f>AB7+AC8</f>
        <v>18</v>
      </c>
      <c r="AG7" s="23">
        <f>MAX(AD7)</f>
        <v>18</v>
      </c>
      <c r="AH7" s="24" t="s">
        <v>26</v>
      </c>
      <c r="AI7" s="23">
        <f>AG7+AH8</f>
        <v>18</v>
      </c>
    </row>
    <row r="8" spans="4:35" ht="19.95" customHeight="1" x14ac:dyDescent="0.3">
      <c r="M8" s="23">
        <f>MAX(K12)</f>
        <v>3</v>
      </c>
      <c r="N8" s="24" t="s">
        <v>1</v>
      </c>
      <c r="O8" s="23">
        <f>M8+N9</f>
        <v>6</v>
      </c>
      <c r="AB8" s="25">
        <f>AD8-AC8</f>
        <v>16</v>
      </c>
      <c r="AC8" s="24">
        <v>2</v>
      </c>
      <c r="AD8" s="25">
        <f>MIN(AG8)</f>
        <v>18</v>
      </c>
      <c r="AG8" s="25">
        <f>AI8-AH8</f>
        <v>18</v>
      </c>
      <c r="AH8" s="24">
        <v>0</v>
      </c>
      <c r="AI8" s="25">
        <f>AI7</f>
        <v>18</v>
      </c>
    </row>
    <row r="9" spans="4:35" ht="19.95" customHeight="1" x14ac:dyDescent="0.3">
      <c r="M9" s="25">
        <f>O9-N9</f>
        <v>3</v>
      </c>
      <c r="N9" s="24">
        <v>3</v>
      </c>
      <c r="O9" s="25">
        <f>MIN(R7,R12)</f>
        <v>6</v>
      </c>
    </row>
    <row r="11" spans="4:35" ht="19.95" customHeight="1" x14ac:dyDescent="0.3">
      <c r="R11" s="23">
        <f>MAX(O8)</f>
        <v>6</v>
      </c>
      <c r="S11" s="24" t="s">
        <v>4</v>
      </c>
      <c r="T11" s="23">
        <f>R11+S12</f>
        <v>9</v>
      </c>
    </row>
    <row r="12" spans="4:35" ht="19.95" customHeight="1" x14ac:dyDescent="0.3">
      <c r="D12" s="23">
        <v>0</v>
      </c>
      <c r="E12" s="24" t="s">
        <v>25</v>
      </c>
      <c r="F12" s="23">
        <f>D12+E13</f>
        <v>0</v>
      </c>
      <c r="I12" s="23">
        <f>MAX(F12)</f>
        <v>0</v>
      </c>
      <c r="J12" s="24" t="s">
        <v>0</v>
      </c>
      <c r="K12" s="23">
        <f>I12+J13</f>
        <v>3</v>
      </c>
      <c r="R12" s="25">
        <f>T12-S12</f>
        <v>6</v>
      </c>
      <c r="S12" s="24">
        <v>3</v>
      </c>
      <c r="T12" s="25">
        <f>MIN(X14)</f>
        <v>9</v>
      </c>
    </row>
    <row r="13" spans="4:35" ht="19.95" customHeight="1" x14ac:dyDescent="0.3">
      <c r="D13" s="25">
        <f>F13-E13</f>
        <v>0</v>
      </c>
      <c r="E13" s="24">
        <v>0</v>
      </c>
      <c r="F13" s="25">
        <f>MIN(I13)</f>
        <v>0</v>
      </c>
      <c r="I13" s="25">
        <f>K13-J13</f>
        <v>0</v>
      </c>
      <c r="J13" s="24">
        <v>3</v>
      </c>
      <c r="K13" s="25">
        <f>MIN(M9,M16)</f>
        <v>3</v>
      </c>
      <c r="X13" s="23">
        <f>MAX(T11,T15)</f>
        <v>9</v>
      </c>
      <c r="Y13" s="24" t="s">
        <v>6</v>
      </c>
      <c r="Z13" s="23">
        <f>X13+Y14</f>
        <v>16</v>
      </c>
    </row>
    <row r="14" spans="4:35" ht="19.95" customHeight="1" x14ac:dyDescent="0.3">
      <c r="X14" s="25">
        <f>Z14-Y14</f>
        <v>9</v>
      </c>
      <c r="Y14" s="24">
        <v>7</v>
      </c>
      <c r="Z14" s="25">
        <f>MIN(AB8)</f>
        <v>16</v>
      </c>
    </row>
    <row r="15" spans="4:35" ht="19.95" customHeight="1" x14ac:dyDescent="0.3">
      <c r="M15" s="23">
        <f>MAX(K12)</f>
        <v>3</v>
      </c>
      <c r="N15" s="24" t="s">
        <v>2</v>
      </c>
      <c r="O15" s="23">
        <f>M15+N16</f>
        <v>5</v>
      </c>
      <c r="R15" s="23">
        <f>MAX(O15)</f>
        <v>5</v>
      </c>
      <c r="S15" s="24" t="s">
        <v>5</v>
      </c>
      <c r="T15" s="23">
        <f>R15+S16</f>
        <v>9</v>
      </c>
    </row>
    <row r="16" spans="4:35" ht="19.95" customHeight="1" x14ac:dyDescent="0.3">
      <c r="M16" s="25">
        <f>O16-N16</f>
        <v>3</v>
      </c>
      <c r="N16" s="24">
        <v>2</v>
      </c>
      <c r="O16" s="25">
        <f>MIN(R16)</f>
        <v>5</v>
      </c>
      <c r="R16" s="25">
        <f>T16-S16</f>
        <v>5</v>
      </c>
      <c r="S16" s="24">
        <v>4</v>
      </c>
      <c r="T16" s="25">
        <f>MIN(X14)</f>
        <v>9</v>
      </c>
    </row>
    <row r="18" spans="1:18" ht="19.95" customHeight="1" x14ac:dyDescent="0.3">
      <c r="A18" s="24" t="s">
        <v>13</v>
      </c>
      <c r="B18" s="24" t="s">
        <v>27</v>
      </c>
      <c r="C18" s="24" t="s">
        <v>28</v>
      </c>
      <c r="D18" s="24" t="s">
        <v>29</v>
      </c>
      <c r="R18" s="5" t="s">
        <v>18</v>
      </c>
    </row>
    <row r="19" spans="1:18" ht="19.95" customHeight="1" x14ac:dyDescent="0.3">
      <c r="A19" s="24">
        <v>1</v>
      </c>
      <c r="B19" s="24" t="s">
        <v>6</v>
      </c>
      <c r="C19" s="24">
        <v>2</v>
      </c>
      <c r="D19" s="24">
        <f>C19*M23</f>
        <v>8</v>
      </c>
      <c r="F19" s="5" t="s">
        <v>31</v>
      </c>
      <c r="P19" s="5">
        <v>1</v>
      </c>
      <c r="R19" s="5" t="s">
        <v>30</v>
      </c>
    </row>
    <row r="20" spans="1:18" ht="19.95" customHeight="1" x14ac:dyDescent="0.3">
      <c r="A20" s="24">
        <v>2</v>
      </c>
      <c r="B20" s="24" t="s">
        <v>1</v>
      </c>
      <c r="C20" s="24">
        <v>2</v>
      </c>
      <c r="D20" s="24">
        <f>C20*K25</f>
        <v>14</v>
      </c>
      <c r="F20" s="5" t="s">
        <v>34</v>
      </c>
      <c r="I20" s="5">
        <v>1</v>
      </c>
      <c r="J20" s="5" t="s">
        <v>0</v>
      </c>
      <c r="K20" s="5" t="s">
        <v>1</v>
      </c>
      <c r="L20" s="5" t="s">
        <v>4</v>
      </c>
      <c r="M20" s="5" t="s">
        <v>6</v>
      </c>
      <c r="N20" s="26" t="s">
        <v>7</v>
      </c>
      <c r="P20" s="5">
        <v>2</v>
      </c>
      <c r="R20" s="5" t="s">
        <v>32</v>
      </c>
    </row>
    <row r="21" spans="1:18" ht="19.95" customHeight="1" x14ac:dyDescent="0.3">
      <c r="A21" s="24">
        <v>3</v>
      </c>
      <c r="B21" s="24" t="s">
        <v>4</v>
      </c>
      <c r="C21" s="24">
        <v>3</v>
      </c>
      <c r="D21" s="24">
        <f>C21*L27</f>
        <v>27</v>
      </c>
      <c r="F21" s="5" t="s">
        <v>35</v>
      </c>
      <c r="J21" s="5">
        <v>17</v>
      </c>
      <c r="K21" s="5">
        <v>7</v>
      </c>
      <c r="L21" s="5">
        <v>9</v>
      </c>
      <c r="M21" s="5">
        <v>4</v>
      </c>
      <c r="N21" s="26">
        <v>3</v>
      </c>
      <c r="P21" s="5">
        <v>3</v>
      </c>
      <c r="R21" s="5" t="s">
        <v>33</v>
      </c>
    </row>
    <row r="22" spans="1:18" ht="19.95" customHeight="1" x14ac:dyDescent="0.3">
      <c r="A22" s="24">
        <v>4</v>
      </c>
      <c r="B22" s="24" t="s">
        <v>36</v>
      </c>
      <c r="C22" s="24">
        <v>1</v>
      </c>
      <c r="D22" s="24">
        <f>C22*K29</f>
        <v>16</v>
      </c>
      <c r="F22" s="5" t="s">
        <v>38</v>
      </c>
      <c r="I22" s="5">
        <v>2</v>
      </c>
      <c r="J22" s="5" t="s">
        <v>0</v>
      </c>
      <c r="K22" s="5" t="s">
        <v>1</v>
      </c>
      <c r="L22" s="5" t="s">
        <v>4</v>
      </c>
      <c r="M22" s="17" t="s">
        <v>6</v>
      </c>
    </row>
    <row r="23" spans="1:18" ht="19.95" customHeight="1" x14ac:dyDescent="0.3">
      <c r="A23" s="44" t="s">
        <v>17</v>
      </c>
      <c r="B23" s="45"/>
      <c r="C23" s="48">
        <f>SUM(C19:C22)</f>
        <v>8</v>
      </c>
      <c r="D23" s="48">
        <f>SUM(D19:D22)</f>
        <v>65</v>
      </c>
      <c r="J23" s="5">
        <v>17</v>
      </c>
      <c r="K23" s="5">
        <v>7</v>
      </c>
      <c r="L23" s="5">
        <v>9</v>
      </c>
      <c r="M23" s="17">
        <v>4</v>
      </c>
    </row>
    <row r="24" spans="1:18" ht="19.95" customHeight="1" x14ac:dyDescent="0.3">
      <c r="A24" s="46"/>
      <c r="B24" s="47"/>
      <c r="C24" s="49"/>
      <c r="D24" s="49"/>
      <c r="I24" s="5">
        <v>3</v>
      </c>
      <c r="J24" s="5" t="s">
        <v>0</v>
      </c>
      <c r="K24" s="17" t="s">
        <v>1</v>
      </c>
      <c r="L24" s="5" t="s">
        <v>4</v>
      </c>
    </row>
    <row r="25" spans="1:18" ht="19.95" customHeight="1" x14ac:dyDescent="0.3">
      <c r="J25" s="5">
        <v>17</v>
      </c>
      <c r="K25" s="17">
        <v>7</v>
      </c>
      <c r="L25" s="5">
        <v>9</v>
      </c>
    </row>
    <row r="26" spans="1:18" ht="19.95" customHeight="1" x14ac:dyDescent="0.3">
      <c r="I26" s="5">
        <v>4</v>
      </c>
      <c r="J26" s="5" t="s">
        <v>0</v>
      </c>
      <c r="L26" s="17" t="s">
        <v>4</v>
      </c>
    </row>
    <row r="27" spans="1:18" ht="19.95" customHeight="1" x14ac:dyDescent="0.3">
      <c r="J27" s="5">
        <v>17</v>
      </c>
      <c r="L27" s="17">
        <v>9</v>
      </c>
    </row>
    <row r="28" spans="1:18" ht="19.95" customHeight="1" x14ac:dyDescent="0.3">
      <c r="I28" s="5">
        <v>5</v>
      </c>
      <c r="J28" s="5" t="s">
        <v>0</v>
      </c>
      <c r="K28" s="17" t="s">
        <v>36</v>
      </c>
      <c r="L28" s="5" t="s">
        <v>37</v>
      </c>
    </row>
    <row r="29" spans="1:18" ht="19.95" customHeight="1" x14ac:dyDescent="0.3">
      <c r="J29" s="5">
        <v>17</v>
      </c>
      <c r="K29" s="17">
        <v>16</v>
      </c>
      <c r="L29" s="5">
        <v>22</v>
      </c>
    </row>
  </sheetData>
  <mergeCells count="3">
    <mergeCell ref="A23:B24"/>
    <mergeCell ref="C23:C24"/>
    <mergeCell ref="D23:D24"/>
  </mergeCell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zoomScale="91" workbookViewId="0">
      <selection activeCell="R5" sqref="R5"/>
    </sheetView>
  </sheetViews>
  <sheetFormatPr defaultColWidth="6.77734375" defaultRowHeight="19.95" customHeight="1" x14ac:dyDescent="0.3"/>
  <sheetData>
    <row r="1" spans="1:19" ht="19.95" customHeight="1" x14ac:dyDescent="0.3">
      <c r="A1" t="s">
        <v>39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ht="19.95" customHeight="1" x14ac:dyDescent="0.3">
      <c r="A2" t="s">
        <v>0</v>
      </c>
      <c r="B2" s="19"/>
      <c r="C2" s="19"/>
      <c r="D2" s="19"/>
    </row>
    <row r="3" spans="1:19" ht="19.95" customHeight="1" x14ac:dyDescent="0.3">
      <c r="A3" t="s">
        <v>1</v>
      </c>
      <c r="E3" s="22"/>
      <c r="F3" s="22"/>
      <c r="G3" s="22"/>
    </row>
    <row r="4" spans="1:19" ht="19.95" customHeight="1" x14ac:dyDescent="0.3">
      <c r="A4" t="s">
        <v>2</v>
      </c>
      <c r="E4" s="21"/>
      <c r="F4" s="21"/>
    </row>
    <row r="5" spans="1:19" ht="19.95" customHeight="1" x14ac:dyDescent="0.3">
      <c r="A5" t="s">
        <v>3</v>
      </c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9" ht="19.95" customHeight="1" x14ac:dyDescent="0.3">
      <c r="A6" t="s">
        <v>4</v>
      </c>
      <c r="H6" s="20"/>
      <c r="I6" s="20"/>
      <c r="J6" s="20"/>
    </row>
    <row r="7" spans="1:19" ht="19.95" customHeight="1" x14ac:dyDescent="0.3">
      <c r="A7" t="s">
        <v>5</v>
      </c>
      <c r="G7" s="29"/>
      <c r="H7" s="29"/>
      <c r="I7" s="29"/>
      <c r="J7" s="29"/>
    </row>
    <row r="8" spans="1:19" ht="19.95" customHeight="1" x14ac:dyDescent="0.3">
      <c r="A8" t="s">
        <v>6</v>
      </c>
      <c r="K8" s="30"/>
      <c r="L8" s="30"/>
      <c r="M8" s="30"/>
      <c r="N8" s="30"/>
      <c r="O8" s="30"/>
      <c r="P8" s="30"/>
      <c r="Q8" s="30"/>
    </row>
    <row r="9" spans="1:19" ht="19.95" customHeight="1" x14ac:dyDescent="0.3">
      <c r="A9" t="s">
        <v>7</v>
      </c>
      <c r="R9" s="27"/>
      <c r="S9" s="2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U8" sqref="U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Q29"/>
  <sheetViews>
    <sheetView topLeftCell="A5" zoomScale="85" zoomScaleNormal="85" workbookViewId="0">
      <selection activeCell="C18" sqref="C18:E19"/>
    </sheetView>
  </sheetViews>
  <sheetFormatPr defaultColWidth="6.77734375" defaultRowHeight="19.95" customHeight="1" x14ac:dyDescent="0.3"/>
  <cols>
    <col min="1" max="20" width="6.77734375" style="5"/>
    <col min="21" max="21" width="8" style="5" bestFit="1" customWidth="1"/>
    <col min="22" max="16384" width="6.77734375" style="5"/>
  </cols>
  <sheetData>
    <row r="2" spans="13:38" ht="19.95" customHeight="1" x14ac:dyDescent="0.3">
      <c r="R2" s="24" t="s">
        <v>13</v>
      </c>
      <c r="S2" s="24" t="s">
        <v>27</v>
      </c>
      <c r="T2" s="24" t="s">
        <v>28</v>
      </c>
      <c r="U2" s="24" t="s">
        <v>29</v>
      </c>
      <c r="AA2" s="5">
        <v>1</v>
      </c>
      <c r="AB2" s="26" t="s">
        <v>0</v>
      </c>
      <c r="AC2" s="31" t="s">
        <v>47</v>
      </c>
      <c r="AD2" s="31" t="s">
        <v>48</v>
      </c>
      <c r="AE2" s="5" t="s">
        <v>49</v>
      </c>
      <c r="AF2" s="5" t="s">
        <v>50</v>
      </c>
      <c r="AG2" s="17" t="s">
        <v>44</v>
      </c>
    </row>
    <row r="3" spans="13:38" ht="19.95" customHeight="1" x14ac:dyDescent="0.3">
      <c r="R3" s="24">
        <v>1</v>
      </c>
      <c r="S3" s="24" t="s">
        <v>44</v>
      </c>
      <c r="T3" s="24">
        <v>2</v>
      </c>
      <c r="U3" s="24">
        <f>T3*AG3</f>
        <v>30</v>
      </c>
      <c r="X3" s="5" t="s">
        <v>55</v>
      </c>
      <c r="AA3" s="31"/>
      <c r="AB3" s="31"/>
      <c r="AC3" s="31">
        <v>22</v>
      </c>
      <c r="AD3" s="31">
        <v>18</v>
      </c>
      <c r="AE3" s="5">
        <v>24</v>
      </c>
      <c r="AF3" s="5">
        <v>20</v>
      </c>
      <c r="AG3" s="17">
        <v>15</v>
      </c>
    </row>
    <row r="4" spans="13:38" ht="19.95" customHeight="1" x14ac:dyDescent="0.3">
      <c r="R4" s="24">
        <v>2</v>
      </c>
      <c r="S4" s="24" t="s">
        <v>48</v>
      </c>
      <c r="T4" s="24">
        <v>2</v>
      </c>
      <c r="U4" s="24">
        <f>T4*AC5</f>
        <v>36</v>
      </c>
      <c r="X4" s="5" t="s">
        <v>57</v>
      </c>
      <c r="AA4" s="31">
        <v>2</v>
      </c>
      <c r="AB4" s="31" t="s">
        <v>47</v>
      </c>
      <c r="AC4" s="17" t="s">
        <v>48</v>
      </c>
      <c r="AD4" s="31" t="s">
        <v>49</v>
      </c>
      <c r="AE4" s="5" t="s">
        <v>50</v>
      </c>
      <c r="AF4" s="31" t="s">
        <v>53</v>
      </c>
      <c r="AG4" s="5" t="s">
        <v>54</v>
      </c>
    </row>
    <row r="5" spans="13:38" ht="19.95" customHeight="1" x14ac:dyDescent="0.3">
      <c r="R5" s="24">
        <v>3</v>
      </c>
      <c r="S5" s="24" t="s">
        <v>50</v>
      </c>
      <c r="T5" s="24">
        <v>1</v>
      </c>
      <c r="U5" s="24">
        <f>T5*AE7</f>
        <v>20</v>
      </c>
      <c r="X5" s="5" t="s">
        <v>60</v>
      </c>
      <c r="AA5" s="31"/>
      <c r="AB5" s="31">
        <v>22</v>
      </c>
      <c r="AC5" s="17">
        <v>18</v>
      </c>
      <c r="AD5" s="38">
        <v>24</v>
      </c>
      <c r="AE5" s="31">
        <v>20</v>
      </c>
      <c r="AF5" s="31">
        <v>20</v>
      </c>
      <c r="AG5" s="31">
        <v>22</v>
      </c>
    </row>
    <row r="6" spans="13:38" ht="19.95" customHeight="1" x14ac:dyDescent="0.3">
      <c r="R6" s="50" t="s">
        <v>17</v>
      </c>
      <c r="S6" s="51"/>
      <c r="T6" s="24">
        <f>SUM(T3:T5)</f>
        <v>5</v>
      </c>
      <c r="U6" s="24">
        <f>SUM(U3:U5)</f>
        <v>86</v>
      </c>
      <c r="AA6" s="31">
        <v>3</v>
      </c>
      <c r="AB6" s="5" t="s">
        <v>58</v>
      </c>
      <c r="AC6" s="5" t="s">
        <v>59</v>
      </c>
      <c r="AD6" s="31" t="s">
        <v>49</v>
      </c>
      <c r="AE6" s="17" t="s">
        <v>50</v>
      </c>
      <c r="AF6" s="31" t="s">
        <v>53</v>
      </c>
      <c r="AG6" s="5" t="s">
        <v>54</v>
      </c>
    </row>
    <row r="7" spans="13:38" ht="19.95" customHeight="1" x14ac:dyDescent="0.3">
      <c r="T7" s="32"/>
      <c r="U7" s="32"/>
      <c r="AA7" s="31"/>
      <c r="AB7" s="5">
        <v>25</v>
      </c>
      <c r="AC7" s="5">
        <v>21</v>
      </c>
      <c r="AD7" s="38">
        <v>24</v>
      </c>
      <c r="AE7" s="17">
        <v>20</v>
      </c>
      <c r="AF7" s="31">
        <v>20</v>
      </c>
      <c r="AG7" s="31">
        <v>22</v>
      </c>
      <c r="AH7" s="31"/>
      <c r="AI7" s="31"/>
      <c r="AJ7" s="31"/>
      <c r="AK7" s="31"/>
      <c r="AL7" s="31"/>
    </row>
    <row r="8" spans="13:38" ht="19.95" customHeight="1" x14ac:dyDescent="0.3">
      <c r="R8" s="32"/>
      <c r="S8" s="32"/>
      <c r="T8" s="32"/>
      <c r="U8" s="32"/>
      <c r="AF8" s="31"/>
      <c r="AG8" s="31"/>
      <c r="AH8" s="31"/>
      <c r="AI8" s="31"/>
      <c r="AJ8" s="31"/>
      <c r="AK8" s="31"/>
      <c r="AL8" s="31"/>
    </row>
    <row r="9" spans="13:38" ht="19.95" customHeight="1" x14ac:dyDescent="0.3">
      <c r="R9" s="32"/>
      <c r="S9" s="32"/>
      <c r="T9" s="32"/>
      <c r="U9" s="32"/>
      <c r="AF9" s="31"/>
      <c r="AG9" s="39"/>
      <c r="AH9" s="31"/>
      <c r="AI9" s="31"/>
      <c r="AJ9" s="31"/>
      <c r="AK9" s="31"/>
      <c r="AL9" s="31"/>
    </row>
    <row r="10" spans="13:38" ht="19.95" customHeight="1" x14ac:dyDescent="0.3">
      <c r="R10" s="33" t="s">
        <v>46</v>
      </c>
      <c r="S10" s="32"/>
      <c r="T10" s="32"/>
      <c r="U10" s="32"/>
      <c r="W10" s="5" t="s">
        <v>18</v>
      </c>
      <c r="AF10" s="31"/>
      <c r="AG10" s="31"/>
      <c r="AH10" s="31"/>
      <c r="AI10" s="31"/>
      <c r="AJ10" s="31"/>
      <c r="AK10" s="31"/>
      <c r="AL10" s="31"/>
    </row>
    <row r="11" spans="13:38" ht="19.95" customHeight="1" x14ac:dyDescent="0.3">
      <c r="U11" s="5">
        <v>1</v>
      </c>
      <c r="W11" s="5" t="s">
        <v>51</v>
      </c>
      <c r="AF11" s="31"/>
      <c r="AG11" s="31"/>
      <c r="AH11" s="31"/>
      <c r="AI11" s="31"/>
      <c r="AJ11" s="31"/>
      <c r="AK11" s="31"/>
      <c r="AL11" s="31"/>
    </row>
    <row r="12" spans="13:38" ht="19.95" customHeight="1" x14ac:dyDescent="0.3">
      <c r="U12" s="5">
        <v>2</v>
      </c>
      <c r="W12" s="5" t="s">
        <v>45</v>
      </c>
      <c r="AF12" s="31"/>
      <c r="AG12" s="31"/>
      <c r="AH12" s="31"/>
      <c r="AI12" s="31"/>
      <c r="AJ12" s="31"/>
      <c r="AK12" s="31"/>
      <c r="AL12" s="31"/>
    </row>
    <row r="13" spans="13:38" ht="19.95" customHeight="1" x14ac:dyDescent="0.3">
      <c r="U13" s="5">
        <v>3</v>
      </c>
      <c r="W13" s="5" t="s">
        <v>52</v>
      </c>
      <c r="AF13" s="31"/>
      <c r="AG13" s="31"/>
      <c r="AH13" s="31"/>
      <c r="AI13" s="31"/>
      <c r="AJ13" s="31"/>
      <c r="AK13" s="31"/>
      <c r="AL13" s="31"/>
    </row>
    <row r="14" spans="13:38" ht="19.95" customHeight="1" x14ac:dyDescent="0.3">
      <c r="M14" s="25">
        <f>MAX(J18)</f>
        <v>2</v>
      </c>
      <c r="N14" s="24" t="s">
        <v>1</v>
      </c>
      <c r="O14" s="25">
        <f>M14+N15</f>
        <v>5</v>
      </c>
      <c r="U14" s="5">
        <v>4</v>
      </c>
      <c r="W14" s="5" t="s">
        <v>56</v>
      </c>
      <c r="AF14" s="31"/>
      <c r="AG14" s="31"/>
      <c r="AH14" s="31"/>
      <c r="AI14" s="31"/>
      <c r="AJ14" s="31"/>
      <c r="AK14" s="31"/>
      <c r="AL14" s="31"/>
    </row>
    <row r="15" spans="13:38" ht="19.95" customHeight="1" x14ac:dyDescent="0.3">
      <c r="M15" s="23">
        <f>O15-N15</f>
        <v>6</v>
      </c>
      <c r="N15" s="24">
        <v>3</v>
      </c>
      <c r="O15" s="23">
        <f>MIN(R16)</f>
        <v>9</v>
      </c>
      <c r="R15" s="25">
        <f>MAX(O14)</f>
        <v>5</v>
      </c>
      <c r="S15" s="24" t="s">
        <v>2</v>
      </c>
      <c r="T15" s="25">
        <f>R15+S16</f>
        <v>8</v>
      </c>
      <c r="AF15" s="31"/>
      <c r="AG15" s="31"/>
      <c r="AH15" s="31"/>
      <c r="AI15" s="31"/>
      <c r="AJ15" s="31"/>
      <c r="AK15" s="31"/>
      <c r="AL15" s="31"/>
    </row>
    <row r="16" spans="13:38" ht="19.95" customHeight="1" x14ac:dyDescent="0.3">
      <c r="R16" s="23">
        <f>T16-S16</f>
        <v>9</v>
      </c>
      <c r="S16" s="24">
        <v>3</v>
      </c>
      <c r="T16" s="23">
        <f>MIN(AC19)</f>
        <v>12</v>
      </c>
      <c r="AF16" s="31"/>
      <c r="AG16" s="31"/>
      <c r="AH16" s="31"/>
      <c r="AI16" s="38"/>
      <c r="AJ16" s="31"/>
      <c r="AK16" s="38"/>
      <c r="AL16" s="31"/>
    </row>
    <row r="18" spans="3:43" ht="19.95" customHeight="1" x14ac:dyDescent="0.3">
      <c r="C18" s="25">
        <v>0</v>
      </c>
      <c r="D18" s="24" t="s">
        <v>25</v>
      </c>
      <c r="E18" s="25">
        <f>C18+D19</f>
        <v>0</v>
      </c>
      <c r="H18" s="25">
        <f>MAX(E18)</f>
        <v>0</v>
      </c>
      <c r="I18" s="24" t="s">
        <v>0</v>
      </c>
      <c r="J18" s="25">
        <f>H18+I19</f>
        <v>2</v>
      </c>
      <c r="N18" s="25">
        <f>MAX(J18)</f>
        <v>2</v>
      </c>
      <c r="O18" s="24" t="s">
        <v>3</v>
      </c>
      <c r="P18" s="25">
        <f>N18+O19</f>
        <v>5</v>
      </c>
      <c r="X18" s="25">
        <f>MAX(U19)</f>
        <v>7</v>
      </c>
      <c r="Y18" s="24" t="s">
        <v>6</v>
      </c>
      <c r="Z18" s="25">
        <f>X18+Y19</f>
        <v>12</v>
      </c>
      <c r="AC18" s="25">
        <f>MAX(T15,Z18,O23)</f>
        <v>12</v>
      </c>
      <c r="AD18" s="24" t="s">
        <v>7</v>
      </c>
      <c r="AE18" s="34">
        <f>AC18+AD19</f>
        <v>15</v>
      </c>
      <c r="AF18" s="36"/>
      <c r="AG18" s="36"/>
      <c r="AJ18" s="25">
        <f>MAX(AE18,Q27)</f>
        <v>15</v>
      </c>
      <c r="AK18" s="24" t="s">
        <v>44</v>
      </c>
      <c r="AL18" s="25">
        <f>AJ18+AK19</f>
        <v>23</v>
      </c>
      <c r="AO18" s="25">
        <f>MAX(AL18,AA27)</f>
        <v>23</v>
      </c>
      <c r="AP18" s="24" t="s">
        <v>26</v>
      </c>
      <c r="AQ18" s="25">
        <f>AO18+AP19</f>
        <v>23</v>
      </c>
    </row>
    <row r="19" spans="3:43" ht="19.95" customHeight="1" x14ac:dyDescent="0.3">
      <c r="C19" s="23">
        <f>E19-D19</f>
        <v>0</v>
      </c>
      <c r="D19" s="24">
        <v>0</v>
      </c>
      <c r="E19" s="23">
        <f>MIN(H19)</f>
        <v>0</v>
      </c>
      <c r="H19" s="23">
        <f>J19-I19</f>
        <v>0</v>
      </c>
      <c r="I19" s="24">
        <v>2</v>
      </c>
      <c r="J19" s="23">
        <f>MIN(M15,N19,M24,J28)</f>
        <v>2</v>
      </c>
      <c r="N19" s="23">
        <f>P19-O19</f>
        <v>2</v>
      </c>
      <c r="O19" s="24">
        <v>3</v>
      </c>
      <c r="P19" s="23">
        <f>MIN(S20)</f>
        <v>5</v>
      </c>
      <c r="S19" s="25">
        <f>MAX(P18)</f>
        <v>5</v>
      </c>
      <c r="T19" s="24" t="s">
        <v>5</v>
      </c>
      <c r="U19" s="25">
        <f>S19+T20</f>
        <v>7</v>
      </c>
      <c r="X19" s="23">
        <f>Z19-Y19</f>
        <v>7</v>
      </c>
      <c r="Y19" s="24">
        <v>5</v>
      </c>
      <c r="Z19" s="23">
        <f>MIN(AC19)</f>
        <v>12</v>
      </c>
      <c r="AC19" s="23">
        <f>AE19-AD19</f>
        <v>12</v>
      </c>
      <c r="AD19" s="24">
        <v>3</v>
      </c>
      <c r="AE19" s="35">
        <f>MIN(AJ19)</f>
        <v>15</v>
      </c>
      <c r="AF19" s="37"/>
      <c r="AG19" s="37"/>
      <c r="AJ19" s="23">
        <f>AL19-AK19</f>
        <v>15</v>
      </c>
      <c r="AK19" s="24">
        <v>8</v>
      </c>
      <c r="AL19" s="23">
        <f>MIN(AO19)</f>
        <v>23</v>
      </c>
      <c r="AO19" s="23">
        <f>AQ19-AP19</f>
        <v>23</v>
      </c>
      <c r="AP19" s="24">
        <v>0</v>
      </c>
      <c r="AQ19" s="23">
        <f>AQ18</f>
        <v>23</v>
      </c>
    </row>
    <row r="20" spans="3:43" ht="19.95" customHeight="1" x14ac:dyDescent="0.3">
      <c r="S20" s="23">
        <f>U20-T20</f>
        <v>5</v>
      </c>
      <c r="T20" s="24">
        <v>2</v>
      </c>
      <c r="U20" s="23">
        <f>MIN(X19)</f>
        <v>7</v>
      </c>
    </row>
    <row r="23" spans="3:43" ht="19.95" customHeight="1" x14ac:dyDescent="0.3">
      <c r="M23" s="25">
        <f>MAX(J18)</f>
        <v>2</v>
      </c>
      <c r="N23" s="24" t="s">
        <v>4</v>
      </c>
      <c r="O23" s="25">
        <f>M23+N24</f>
        <v>12</v>
      </c>
    </row>
    <row r="24" spans="3:43" ht="19.95" customHeight="1" x14ac:dyDescent="0.3">
      <c r="M24" s="23">
        <f>O24-N24</f>
        <v>2</v>
      </c>
      <c r="N24" s="24">
        <v>10</v>
      </c>
      <c r="O24" s="23">
        <f>MIN(AC19)</f>
        <v>12</v>
      </c>
    </row>
    <row r="27" spans="3:43" ht="19.95" customHeight="1" x14ac:dyDescent="0.3">
      <c r="J27" s="25">
        <f>MAX(J18)</f>
        <v>2</v>
      </c>
      <c r="K27" s="24" t="s">
        <v>40</v>
      </c>
      <c r="L27" s="25">
        <f>J27+K28</f>
        <v>9</v>
      </c>
      <c r="O27" s="25">
        <f>MAX(L27)</f>
        <v>9</v>
      </c>
      <c r="P27" s="24" t="s">
        <v>41</v>
      </c>
      <c r="Q27" s="25">
        <f>O27+P28</f>
        <v>15</v>
      </c>
      <c r="Y27" s="25">
        <f>MAX(V28)</f>
        <v>18</v>
      </c>
      <c r="Z27" s="24" t="s">
        <v>43</v>
      </c>
      <c r="AA27" s="25">
        <f>Y27+Z28</f>
        <v>23</v>
      </c>
    </row>
    <row r="28" spans="3:43" ht="19.95" customHeight="1" x14ac:dyDescent="0.3">
      <c r="J28" s="23">
        <f>L28-K28</f>
        <v>2</v>
      </c>
      <c r="K28" s="24">
        <v>7</v>
      </c>
      <c r="L28" s="23">
        <f>MIN(O28)</f>
        <v>9</v>
      </c>
      <c r="O28" s="23">
        <f>Q28-P28</f>
        <v>9</v>
      </c>
      <c r="P28" s="24">
        <v>6</v>
      </c>
      <c r="Q28" s="23">
        <f>MIN(AJ19,T29)</f>
        <v>15</v>
      </c>
      <c r="T28" s="25">
        <f>MAX(Q27)</f>
        <v>15</v>
      </c>
      <c r="U28" s="24" t="s">
        <v>42</v>
      </c>
      <c r="V28" s="25">
        <f>T28+U29</f>
        <v>18</v>
      </c>
      <c r="Y28" s="23">
        <f>AA28-Z28</f>
        <v>18</v>
      </c>
      <c r="Z28" s="24">
        <v>5</v>
      </c>
      <c r="AA28" s="23">
        <f>MIN(AO19)</f>
        <v>23</v>
      </c>
    </row>
    <row r="29" spans="3:43" ht="19.95" customHeight="1" x14ac:dyDescent="0.3">
      <c r="T29" s="23">
        <f>V29-U29</f>
        <v>15</v>
      </c>
      <c r="U29" s="24">
        <v>3</v>
      </c>
      <c r="V29" s="23">
        <f>MIN(Y28)</f>
        <v>18</v>
      </c>
    </row>
  </sheetData>
  <mergeCells count="1">
    <mergeCell ref="R6:S6"/>
  </mergeCells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11" sqref="V11"/>
    </sheetView>
  </sheetViews>
  <sheetFormatPr defaultColWidth="5.77734375" defaultRowHeight="19.95" customHeight="1" x14ac:dyDescent="0.3"/>
  <cols>
    <col min="1" max="16384" width="5.77734375" style="40"/>
  </cols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AO12"/>
  <sheetViews>
    <sheetView workbookViewId="0">
      <selection activeCell="T19" sqref="T19"/>
    </sheetView>
  </sheetViews>
  <sheetFormatPr defaultColWidth="5.77734375" defaultRowHeight="19.95" customHeight="1" x14ac:dyDescent="0.3"/>
  <sheetData>
    <row r="1" spans="10:41" ht="19.95" customHeight="1" x14ac:dyDescent="0.3">
      <c r="V1" s="25">
        <f>MAX(Q11)</f>
        <v>4</v>
      </c>
      <c r="W1" s="24" t="s">
        <v>6</v>
      </c>
      <c r="X1" s="25">
        <f>V1+W2</f>
        <v>11</v>
      </c>
    </row>
    <row r="2" spans="10:41" ht="19.95" customHeight="1" x14ac:dyDescent="0.3">
      <c r="V2" s="23">
        <f>X2-W2</f>
        <v>17</v>
      </c>
      <c r="W2" s="24">
        <v>7</v>
      </c>
      <c r="X2" s="23">
        <f>MIN(AC6)</f>
        <v>24</v>
      </c>
    </row>
    <row r="3" spans="10:41" ht="19.95" customHeight="1" x14ac:dyDescent="0.3">
      <c r="O3" s="25">
        <f>MAX(L7)</f>
        <v>0</v>
      </c>
      <c r="P3" s="24" t="s">
        <v>3</v>
      </c>
      <c r="Q3" s="25">
        <f>O3+P4</f>
        <v>12</v>
      </c>
    </row>
    <row r="4" spans="10:41" ht="19.95" customHeight="1" x14ac:dyDescent="0.3">
      <c r="O4" s="23">
        <f>Q4-P4</f>
        <v>12</v>
      </c>
      <c r="P4" s="24">
        <v>12</v>
      </c>
      <c r="Q4" s="23">
        <f>MIN(AC6)</f>
        <v>24</v>
      </c>
    </row>
    <row r="5" spans="10:41" ht="19.95" customHeight="1" x14ac:dyDescent="0.3">
      <c r="AC5" s="25">
        <f>MAX(X1,Y7,Q3)</f>
        <v>20</v>
      </c>
      <c r="AD5" s="24" t="s">
        <v>7</v>
      </c>
      <c r="AE5" s="25">
        <f>AC5+AD6</f>
        <v>30</v>
      </c>
      <c r="AH5" s="25">
        <f>MAX(AE5,AB10)</f>
        <v>34</v>
      </c>
      <c r="AI5" s="24" t="s">
        <v>44</v>
      </c>
      <c r="AJ5" s="25">
        <f>AH5+AI6</f>
        <v>37</v>
      </c>
      <c r="AM5" s="25">
        <f>MAX(AJ5)</f>
        <v>37</v>
      </c>
      <c r="AN5" s="24" t="s">
        <v>26</v>
      </c>
      <c r="AO5" s="25">
        <f>AM5+AN6</f>
        <v>37</v>
      </c>
    </row>
    <row r="6" spans="10:41" ht="19.95" customHeight="1" x14ac:dyDescent="0.3">
      <c r="AC6" s="23">
        <f>AE6-AD6</f>
        <v>24</v>
      </c>
      <c r="AD6" s="24">
        <v>10</v>
      </c>
      <c r="AE6" s="23">
        <f>MIN(AH6)</f>
        <v>34</v>
      </c>
      <c r="AH6" s="23">
        <f>AJ6-AI6</f>
        <v>34</v>
      </c>
      <c r="AI6" s="24">
        <v>3</v>
      </c>
      <c r="AJ6" s="23">
        <f>MIN(AM6)</f>
        <v>37</v>
      </c>
      <c r="AM6" s="23">
        <f>AO6-AN6</f>
        <v>37</v>
      </c>
      <c r="AN6" s="24">
        <v>0</v>
      </c>
      <c r="AO6" s="23">
        <f>AO5</f>
        <v>37</v>
      </c>
    </row>
    <row r="7" spans="10:41" ht="19.95" customHeight="1" x14ac:dyDescent="0.3">
      <c r="J7" s="25">
        <v>0</v>
      </c>
      <c r="K7" s="24" t="s">
        <v>25</v>
      </c>
      <c r="L7" s="25">
        <f>J7+K8</f>
        <v>0</v>
      </c>
      <c r="O7" s="25">
        <f>MAX(L7)</f>
        <v>0</v>
      </c>
      <c r="P7" s="24" t="s">
        <v>2</v>
      </c>
      <c r="Q7" s="25">
        <f>O7+P8</f>
        <v>4</v>
      </c>
      <c r="W7" s="25">
        <f>MAX(Q7,V11)</f>
        <v>10</v>
      </c>
      <c r="X7" s="24" t="s">
        <v>4</v>
      </c>
      <c r="Y7" s="25">
        <f>W7+X8</f>
        <v>20</v>
      </c>
    </row>
    <row r="8" spans="10:41" ht="19.95" customHeight="1" x14ac:dyDescent="0.3">
      <c r="J8" s="23">
        <f>L8-K8</f>
        <v>0</v>
      </c>
      <c r="K8" s="24">
        <v>0</v>
      </c>
      <c r="L8" s="23">
        <f>MIN(O4,O8,O12)</f>
        <v>0</v>
      </c>
      <c r="O8" s="23">
        <f>Q8-P8</f>
        <v>6</v>
      </c>
      <c r="P8" s="24">
        <v>4</v>
      </c>
      <c r="Q8" s="23">
        <f>MIN(W8,Z11)</f>
        <v>10</v>
      </c>
      <c r="W8" s="23">
        <f>Y8-X8</f>
        <v>14</v>
      </c>
      <c r="X8" s="24">
        <v>10</v>
      </c>
      <c r="Y8" s="23">
        <f>MIN(AC6)</f>
        <v>24</v>
      </c>
    </row>
    <row r="10" spans="10:41" ht="19.95" customHeight="1" x14ac:dyDescent="0.3">
      <c r="Z10" s="25">
        <f>MAX(Q7,V11)</f>
        <v>10</v>
      </c>
      <c r="AA10" s="24" t="s">
        <v>5</v>
      </c>
      <c r="AB10" s="25">
        <f>Z10+AA11</f>
        <v>34</v>
      </c>
    </row>
    <row r="11" spans="10:41" ht="19.95" customHeight="1" x14ac:dyDescent="0.3">
      <c r="O11" s="25">
        <f>MAX(L7)</f>
        <v>0</v>
      </c>
      <c r="P11" s="24" t="s">
        <v>0</v>
      </c>
      <c r="Q11" s="25">
        <f>O11+P12</f>
        <v>4</v>
      </c>
      <c r="T11" s="25">
        <f>MAX(Q11)</f>
        <v>4</v>
      </c>
      <c r="U11" s="24" t="s">
        <v>1</v>
      </c>
      <c r="V11" s="25">
        <f>T11+U12</f>
        <v>10</v>
      </c>
      <c r="Z11" s="23">
        <f>AB11-AA11</f>
        <v>10</v>
      </c>
      <c r="AA11" s="24">
        <v>24</v>
      </c>
      <c r="AB11" s="23">
        <f>MIN(AH6)</f>
        <v>34</v>
      </c>
    </row>
    <row r="12" spans="10:41" ht="19.95" customHeight="1" x14ac:dyDescent="0.3">
      <c r="O12" s="23">
        <f>Q12-P12</f>
        <v>0</v>
      </c>
      <c r="P12" s="24">
        <v>4</v>
      </c>
      <c r="Q12" s="23">
        <f>MIN(V2,T12)</f>
        <v>4</v>
      </c>
      <c r="T12" s="23">
        <f>V12-U12</f>
        <v>4</v>
      </c>
      <c r="U12" s="24">
        <v>6</v>
      </c>
      <c r="V12" s="23">
        <f>MIN(Z11,W8)</f>
        <v>10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O26"/>
  <sheetViews>
    <sheetView tabSelected="1" topLeftCell="A7" workbookViewId="0">
      <selection activeCell="F20" sqref="F20"/>
    </sheetView>
  </sheetViews>
  <sheetFormatPr defaultColWidth="5.77734375" defaultRowHeight="19.95" customHeight="1" x14ac:dyDescent="0.3"/>
  <cols>
    <col min="1" max="16384" width="5.77734375" style="5"/>
  </cols>
  <sheetData>
    <row r="1" spans="3:41" ht="19.95" customHeight="1" x14ac:dyDescent="0.3">
      <c r="V1" s="25">
        <f>MAX(Q11)</f>
        <v>2</v>
      </c>
      <c r="W1" s="24" t="s">
        <v>6</v>
      </c>
      <c r="X1" s="25">
        <f>V1+W2</f>
        <v>9</v>
      </c>
    </row>
    <row r="2" spans="3:41" ht="19.95" customHeight="1" x14ac:dyDescent="0.3">
      <c r="V2" s="23">
        <f>X2-W2</f>
        <v>9</v>
      </c>
      <c r="W2" s="24">
        <v>7</v>
      </c>
      <c r="X2" s="23">
        <f>MIN(AC6)</f>
        <v>16</v>
      </c>
    </row>
    <row r="3" spans="3:41" ht="19.95" customHeight="1" x14ac:dyDescent="0.3">
      <c r="O3" s="25">
        <f>MAX(L7)</f>
        <v>0</v>
      </c>
      <c r="P3" s="24" t="s">
        <v>3</v>
      </c>
      <c r="Q3" s="25">
        <f>O3+P4</f>
        <v>12</v>
      </c>
    </row>
    <row r="4" spans="3:41" ht="19.95" customHeight="1" x14ac:dyDescent="0.3">
      <c r="O4" s="23">
        <f>Q4-P4</f>
        <v>4</v>
      </c>
      <c r="P4" s="24">
        <v>12</v>
      </c>
      <c r="Q4" s="23">
        <f>MIN(AC6)</f>
        <v>16</v>
      </c>
    </row>
    <row r="5" spans="3:41" ht="19.95" customHeight="1" x14ac:dyDescent="0.3">
      <c r="AC5" s="25">
        <f>MAX(X1,Y7,Q3)</f>
        <v>16</v>
      </c>
      <c r="AD5" s="24" t="s">
        <v>7</v>
      </c>
      <c r="AE5" s="25">
        <f>AC5+AD6</f>
        <v>26</v>
      </c>
      <c r="AH5" s="25">
        <f>MAX(AE5,AB10)</f>
        <v>26</v>
      </c>
      <c r="AI5" s="24" t="s">
        <v>44</v>
      </c>
      <c r="AJ5" s="25">
        <f>AH5+AI6</f>
        <v>28</v>
      </c>
      <c r="AM5" s="25">
        <f>MAX(AJ5)</f>
        <v>28</v>
      </c>
      <c r="AN5" s="24" t="s">
        <v>26</v>
      </c>
      <c r="AO5" s="25">
        <f>AM5+AN6</f>
        <v>28</v>
      </c>
    </row>
    <row r="6" spans="3:41" ht="19.95" customHeight="1" x14ac:dyDescent="0.3">
      <c r="AC6" s="23">
        <f>AE6-AD6</f>
        <v>16</v>
      </c>
      <c r="AD6" s="24">
        <v>10</v>
      </c>
      <c r="AE6" s="23">
        <f>MIN(AH6)</f>
        <v>26</v>
      </c>
      <c r="AH6" s="23">
        <f>AJ6-AI6</f>
        <v>26</v>
      </c>
      <c r="AI6" s="24">
        <v>2</v>
      </c>
      <c r="AJ6" s="23">
        <f>MIN(AM6)</f>
        <v>28</v>
      </c>
      <c r="AM6" s="23">
        <f>AO6-AN6</f>
        <v>28</v>
      </c>
      <c r="AN6" s="24">
        <v>0</v>
      </c>
      <c r="AO6" s="23">
        <f>AO5</f>
        <v>28</v>
      </c>
    </row>
    <row r="7" spans="3:41" ht="19.95" customHeight="1" x14ac:dyDescent="0.3">
      <c r="J7" s="25">
        <v>0</v>
      </c>
      <c r="K7" s="24" t="s">
        <v>25</v>
      </c>
      <c r="L7" s="25">
        <f>J7+K8</f>
        <v>0</v>
      </c>
      <c r="O7" s="25">
        <f>MAX(L7)</f>
        <v>0</v>
      </c>
      <c r="P7" s="24" t="s">
        <v>2</v>
      </c>
      <c r="Q7" s="25">
        <f>O7+P8</f>
        <v>4</v>
      </c>
      <c r="W7" s="25">
        <f>MAX(Q7,V11)</f>
        <v>7</v>
      </c>
      <c r="X7" s="24" t="s">
        <v>4</v>
      </c>
      <c r="Y7" s="25">
        <f>W7+X8</f>
        <v>16</v>
      </c>
    </row>
    <row r="8" spans="3:41" ht="19.95" customHeight="1" x14ac:dyDescent="0.3">
      <c r="J8" s="23">
        <f>L8-K8</f>
        <v>0</v>
      </c>
      <c r="K8" s="24">
        <v>0</v>
      </c>
      <c r="L8" s="23">
        <f>MIN(O4,O8,O12)</f>
        <v>0</v>
      </c>
      <c r="O8" s="23">
        <f>Q8-P8</f>
        <v>3</v>
      </c>
      <c r="P8" s="24">
        <v>4</v>
      </c>
      <c r="Q8" s="23">
        <f>MIN(W8,Z11)</f>
        <v>7</v>
      </c>
      <c r="W8" s="23">
        <f>Y8-X8</f>
        <v>7</v>
      </c>
      <c r="X8" s="24">
        <v>9</v>
      </c>
      <c r="Y8" s="23">
        <f>MIN(AC6)</f>
        <v>16</v>
      </c>
    </row>
    <row r="10" spans="3:41" ht="19.95" customHeight="1" x14ac:dyDescent="0.3">
      <c r="Z10" s="25">
        <f>MAX(Q7,V11)</f>
        <v>7</v>
      </c>
      <c r="AA10" s="24" t="s">
        <v>5</v>
      </c>
      <c r="AB10" s="25">
        <f>Z10+AA11</f>
        <v>26</v>
      </c>
    </row>
    <row r="11" spans="3:41" ht="19.95" customHeight="1" x14ac:dyDescent="0.3">
      <c r="O11" s="25">
        <f>MAX(L7)</f>
        <v>0</v>
      </c>
      <c r="P11" s="24" t="s">
        <v>0</v>
      </c>
      <c r="Q11" s="25">
        <f>O11+P12</f>
        <v>2</v>
      </c>
      <c r="T11" s="25">
        <f>MAX(Q11)</f>
        <v>2</v>
      </c>
      <c r="U11" s="24" t="s">
        <v>1</v>
      </c>
      <c r="V11" s="25">
        <f>T11+U12</f>
        <v>7</v>
      </c>
      <c r="Z11" s="23">
        <f>AB11-AA11</f>
        <v>7</v>
      </c>
      <c r="AA11" s="24">
        <v>19</v>
      </c>
      <c r="AB11" s="23">
        <f>MIN(AH6)</f>
        <v>26</v>
      </c>
    </row>
    <row r="12" spans="3:41" ht="19.95" customHeight="1" x14ac:dyDescent="0.3">
      <c r="O12" s="23">
        <f>Q12-P12</f>
        <v>0</v>
      </c>
      <c r="P12" s="24">
        <v>2</v>
      </c>
      <c r="Q12" s="23">
        <f>MIN(V2,T12)</f>
        <v>2</v>
      </c>
      <c r="T12" s="23">
        <f>V12-U12</f>
        <v>2</v>
      </c>
      <c r="U12" s="24">
        <v>5</v>
      </c>
      <c r="V12" s="23">
        <f>MIN(Z11,W8)</f>
        <v>7</v>
      </c>
    </row>
    <row r="14" spans="3:41" ht="19.95" customHeight="1" x14ac:dyDescent="0.3">
      <c r="C14" s="24" t="s">
        <v>13</v>
      </c>
      <c r="D14" s="24" t="s">
        <v>27</v>
      </c>
      <c r="E14" s="24" t="s">
        <v>63</v>
      </c>
      <c r="F14" s="24" t="s">
        <v>29</v>
      </c>
      <c r="W14" s="5" t="s">
        <v>61</v>
      </c>
    </row>
    <row r="15" spans="3:41" ht="19.95" customHeight="1" x14ac:dyDescent="0.3">
      <c r="C15" s="24">
        <v>1</v>
      </c>
      <c r="D15" s="24" t="s">
        <v>44</v>
      </c>
      <c r="E15" s="24">
        <v>1</v>
      </c>
      <c r="F15" s="24">
        <f>E15*O16</f>
        <v>3</v>
      </c>
      <c r="H15" s="5" t="s">
        <v>64</v>
      </c>
      <c r="K15" s="5">
        <v>1</v>
      </c>
      <c r="L15" s="5" t="s">
        <v>0</v>
      </c>
      <c r="M15" s="5" t="s">
        <v>1</v>
      </c>
      <c r="N15" s="5" t="s">
        <v>5</v>
      </c>
      <c r="O15" s="17" t="s">
        <v>44</v>
      </c>
      <c r="V15" s="5">
        <v>1</v>
      </c>
      <c r="X15" s="5" t="s">
        <v>62</v>
      </c>
    </row>
    <row r="16" spans="3:41" ht="19.95" customHeight="1" x14ac:dyDescent="0.3">
      <c r="C16" s="24">
        <v>2</v>
      </c>
      <c r="D16" s="24" t="s">
        <v>0</v>
      </c>
      <c r="E16" s="24">
        <v>2</v>
      </c>
      <c r="F16" s="24">
        <f>E16*L18</f>
        <v>10</v>
      </c>
      <c r="H16" s="5" t="s">
        <v>65</v>
      </c>
      <c r="L16" s="5">
        <v>5</v>
      </c>
      <c r="M16" s="5">
        <v>19</v>
      </c>
      <c r="N16" s="5">
        <v>13</v>
      </c>
      <c r="O16" s="17">
        <v>3</v>
      </c>
      <c r="V16" s="5">
        <v>2</v>
      </c>
      <c r="X16" s="5" t="s">
        <v>66</v>
      </c>
    </row>
    <row r="17" spans="3:16" ht="19.95" customHeight="1" x14ac:dyDescent="0.3">
      <c r="C17" s="24">
        <v>3</v>
      </c>
      <c r="D17" s="24" t="s">
        <v>5</v>
      </c>
      <c r="E17" s="24">
        <v>4</v>
      </c>
      <c r="F17" s="24">
        <f>E17*N20</f>
        <v>52</v>
      </c>
      <c r="H17" s="5" t="s">
        <v>21</v>
      </c>
      <c r="K17" s="5">
        <v>2</v>
      </c>
      <c r="L17" s="17" t="s">
        <v>0</v>
      </c>
      <c r="M17" s="5" t="s">
        <v>1</v>
      </c>
      <c r="N17" s="5" t="s">
        <v>5</v>
      </c>
    </row>
    <row r="18" spans="3:16" ht="19.95" customHeight="1" x14ac:dyDescent="0.3">
      <c r="C18" s="24">
        <v>4</v>
      </c>
      <c r="D18" s="24" t="s">
        <v>20</v>
      </c>
      <c r="E18" s="24">
        <v>1</v>
      </c>
      <c r="F18" s="24">
        <f>E18*N24</f>
        <v>18</v>
      </c>
      <c r="H18" s="5" t="s">
        <v>68</v>
      </c>
      <c r="L18" s="17">
        <v>5</v>
      </c>
      <c r="M18" s="5">
        <v>19</v>
      </c>
      <c r="N18" s="5">
        <v>13</v>
      </c>
    </row>
    <row r="19" spans="3:16" ht="19.95" customHeight="1" x14ac:dyDescent="0.3">
      <c r="C19" s="24">
        <v>5</v>
      </c>
      <c r="D19" s="24" t="s">
        <v>1</v>
      </c>
      <c r="E19" s="24">
        <v>1</v>
      </c>
      <c r="F19" s="24">
        <f>E19*M26</f>
        <v>19</v>
      </c>
      <c r="H19" s="5" t="s">
        <v>69</v>
      </c>
      <c r="K19" s="5">
        <v>3</v>
      </c>
      <c r="M19" s="5" t="s">
        <v>1</v>
      </c>
      <c r="N19" s="17" t="s">
        <v>5</v>
      </c>
    </row>
    <row r="20" spans="3:16" ht="19.95" customHeight="1" x14ac:dyDescent="0.3">
      <c r="C20" s="50" t="s">
        <v>17</v>
      </c>
      <c r="D20" s="51"/>
      <c r="E20" s="24">
        <f>SUM(E15:E19)</f>
        <v>9</v>
      </c>
      <c r="F20" s="24">
        <f>SUM(F15:F19)</f>
        <v>102</v>
      </c>
      <c r="M20" s="5">
        <v>19</v>
      </c>
      <c r="N20" s="17">
        <v>13</v>
      </c>
    </row>
    <row r="21" spans="3:16" ht="19.95" customHeight="1" x14ac:dyDescent="0.3">
      <c r="L21" s="33" t="s">
        <v>0</v>
      </c>
      <c r="M21" s="5" t="s">
        <v>1</v>
      </c>
      <c r="N21" s="5" t="s">
        <v>4</v>
      </c>
      <c r="O21" s="5" t="s">
        <v>7</v>
      </c>
      <c r="P21" s="33" t="s">
        <v>44</v>
      </c>
    </row>
    <row r="22" spans="3:16" ht="19.95" customHeight="1" x14ac:dyDescent="0.3">
      <c r="L22" s="33" t="s">
        <v>0</v>
      </c>
      <c r="M22" s="5" t="s">
        <v>1</v>
      </c>
      <c r="N22" s="5" t="s">
        <v>5</v>
      </c>
      <c r="P22" s="33" t="s">
        <v>44</v>
      </c>
    </row>
    <row r="23" spans="3:16" ht="19.95" customHeight="1" x14ac:dyDescent="0.3">
      <c r="K23" s="5">
        <v>4</v>
      </c>
      <c r="M23" s="5" t="s">
        <v>1</v>
      </c>
      <c r="N23" s="17" t="s">
        <v>20</v>
      </c>
      <c r="O23" s="5" t="s">
        <v>67</v>
      </c>
    </row>
    <row r="24" spans="3:16" ht="19.95" customHeight="1" x14ac:dyDescent="0.3">
      <c r="M24" s="5">
        <v>19</v>
      </c>
      <c r="N24" s="17">
        <v>18</v>
      </c>
      <c r="O24" s="5">
        <v>20</v>
      </c>
    </row>
    <row r="25" spans="3:16" ht="19.95" customHeight="1" x14ac:dyDescent="0.3">
      <c r="K25" s="5">
        <v>5</v>
      </c>
      <c r="M25" s="17" t="s">
        <v>1</v>
      </c>
    </row>
    <row r="26" spans="3:16" ht="19.95" customHeight="1" x14ac:dyDescent="0.3">
      <c r="M26" s="17">
        <v>19</v>
      </c>
    </row>
  </sheetData>
  <mergeCells count="1">
    <mergeCell ref="C20:D20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AOA1</vt:lpstr>
      <vt:lpstr>PDM1</vt:lpstr>
      <vt:lpstr>RN1</vt:lpstr>
      <vt:lpstr>AOA2</vt:lpstr>
      <vt:lpstr>PDM&amp;RN2</vt:lpstr>
      <vt:lpstr>GANTT2</vt:lpstr>
      <vt:lpstr>AOA3</vt:lpstr>
      <vt:lpstr>PDM3</vt:lpstr>
      <vt:lpstr>AOA4</vt:lpstr>
      <vt:lpstr>PDM4</vt:lpstr>
      <vt:lpstr>RN4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2023-11-13T14:21:55Z</dcterms:created>
  <dcterms:modified xsi:type="dcterms:W3CDTF">2023-11-27T15:05:19Z</dcterms:modified>
</cp:coreProperties>
</file>